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Demo_CanDienTu\WeighingKeli\HM_19MB_Demo\HM_19MB_Demo\Resources\Templates\"/>
    </mc:Choice>
  </mc:AlternateContent>
  <xr:revisionPtr revIDLastSave="0" documentId="13_ncr:1_{6CBCD694-A6E9-4A81-95D0-8A976A2D98C9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3 Pos" sheetId="8" r:id="rId1"/>
    <sheet name="5 Pos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3" i="9" l="1"/>
  <c r="N33" i="9"/>
  <c r="O33" i="9"/>
  <c r="P33" i="9"/>
  <c r="N27" i="9"/>
  <c r="O27" i="9"/>
  <c r="P27" i="9"/>
  <c r="L33" i="9"/>
  <c r="K33" i="9"/>
  <c r="M27" i="9"/>
  <c r="L27" i="9"/>
  <c r="K27" i="9"/>
  <c r="R8" i="9" s="1"/>
  <c r="AB26" i="9"/>
  <c r="AB25" i="9"/>
  <c r="AB24" i="9"/>
  <c r="AB23" i="9"/>
  <c r="AB22" i="9"/>
  <c r="AB21" i="9"/>
  <c r="AB20" i="9"/>
  <c r="AB19" i="9"/>
  <c r="AB18" i="9"/>
  <c r="AB17" i="9"/>
  <c r="AB16" i="9"/>
  <c r="Z16" i="9"/>
  <c r="AD15" i="9"/>
  <c r="N15" i="9"/>
  <c r="M15" i="9"/>
  <c r="L15" i="9"/>
  <c r="K15" i="9"/>
  <c r="R6" i="9" s="1"/>
  <c r="Z14" i="9"/>
  <c r="AD14" i="9" s="1"/>
  <c r="Z13" i="9"/>
  <c r="AD13" i="9" s="1"/>
  <c r="Z12" i="9"/>
  <c r="AD12" i="9" s="1"/>
  <c r="Z11" i="9"/>
  <c r="AD11" i="9" s="1"/>
  <c r="Z10" i="9"/>
  <c r="AD10" i="9" s="1"/>
  <c r="Z9" i="9"/>
  <c r="AD9" i="9" s="1"/>
  <c r="Z21" i="9"/>
  <c r="AD21" i="9" s="1"/>
  <c r="R9" i="9"/>
  <c r="N9" i="9"/>
  <c r="M9" i="9"/>
  <c r="L9" i="9"/>
  <c r="K9" i="9"/>
  <c r="R5" i="9" s="1"/>
  <c r="Z8" i="9"/>
  <c r="AD8" i="9" s="1"/>
  <c r="Z20" i="9"/>
  <c r="Z7" i="9"/>
  <c r="AD7" i="9" s="1"/>
  <c r="Z19" i="9"/>
  <c r="Z6" i="9"/>
  <c r="AD6" i="9" s="1"/>
  <c r="Z18" i="9"/>
  <c r="AD18" i="9" s="1"/>
  <c r="Z5" i="9"/>
  <c r="AD5" i="9" s="1"/>
  <c r="Z17" i="9"/>
  <c r="AD17" i="9" s="1"/>
  <c r="S8" i="9" l="1"/>
  <c r="AD20" i="9"/>
  <c r="S9" i="9"/>
  <c r="AD19" i="9"/>
  <c r="Z26" i="9"/>
  <c r="AD26" i="9" s="1"/>
  <c r="AD16" i="9"/>
  <c r="Z25" i="9"/>
  <c r="AD25" i="9" s="1"/>
  <c r="Z23" i="9"/>
  <c r="AD23" i="9" s="1"/>
  <c r="Z22" i="9"/>
  <c r="AD22" i="9" s="1"/>
  <c r="Z24" i="9"/>
  <c r="AD24" i="9" s="1"/>
  <c r="AA15" i="8"/>
  <c r="AA16" i="8"/>
  <c r="W9" i="8"/>
  <c r="AA9" i="8" s="1"/>
  <c r="W8" i="8"/>
  <c r="AA8" i="8" s="1"/>
  <c r="Y19" i="8"/>
  <c r="Y20" i="8"/>
  <c r="Y21" i="8"/>
  <c r="Y22" i="8"/>
  <c r="Y23" i="8"/>
  <c r="Y24" i="8"/>
  <c r="Y25" i="8"/>
  <c r="Y26" i="8"/>
  <c r="Y18" i="8"/>
  <c r="Y17" i="8"/>
  <c r="W16" i="8"/>
  <c r="W14" i="8"/>
  <c r="AA14" i="8" s="1"/>
  <c r="W13" i="8"/>
  <c r="AA13" i="8" s="1"/>
  <c r="W12" i="8"/>
  <c r="AA12" i="8" s="1"/>
  <c r="W11" i="8"/>
  <c r="AA11" i="8" s="1"/>
  <c r="W10" i="8"/>
  <c r="AA10" i="8" s="1"/>
  <c r="W7" i="8"/>
  <c r="AA7" i="8" s="1"/>
  <c r="W6" i="8"/>
  <c r="AA6" i="8" s="1"/>
  <c r="W5" i="8"/>
  <c r="AA5" i="8" s="1"/>
  <c r="Y16" i="8"/>
  <c r="W21" i="8"/>
  <c r="AA21" i="8" s="1"/>
  <c r="W20" i="8"/>
  <c r="AA20" i="8" s="1"/>
  <c r="W19" i="8"/>
  <c r="AA19" i="8" s="1"/>
  <c r="W18" i="8"/>
  <c r="AA18" i="8" s="1"/>
  <c r="W17" i="8"/>
  <c r="AA17" i="8" s="1"/>
  <c r="W26" i="8" l="1"/>
  <c r="AA26" i="8" s="1"/>
  <c r="W25" i="8"/>
  <c r="AA25" i="8" s="1"/>
  <c r="W22" i="8" l="1"/>
  <c r="AA22" i="8" s="1"/>
  <c r="W24" i="8"/>
  <c r="AA24" i="8" s="1"/>
  <c r="W23" i="8"/>
  <c r="AA23" i="8" s="1"/>
</calcChain>
</file>

<file path=xl/sharedStrings.xml><?xml version="1.0" encoding="utf-8"?>
<sst xmlns="http://schemas.openxmlformats.org/spreadsheetml/2006/main" count="248" uniqueCount="84">
  <si>
    <t>Cơ sở sản xuất:</t>
  </si>
  <si>
    <t>Kiểu:</t>
  </si>
  <si>
    <t>Tên phương tiện đo:</t>
  </si>
  <si>
    <t>Đặc trưng kỹ thuật:</t>
  </si>
  <si>
    <t>Phương pháp thực hiện:</t>
  </si>
  <si>
    <t>Cơ sở sử dụng:</t>
  </si>
  <si>
    <t>Điều kiện môi trường:</t>
  </si>
  <si>
    <t>Nhiệt độ:</t>
  </si>
  <si>
    <t xml:space="preserve">Ngày thực hiện: </t>
  </si>
  <si>
    <t>KẾT QUẢ HIỆU CHUẨN</t>
  </si>
  <si>
    <t>-Độ phân giải:</t>
  </si>
  <si>
    <t>Chuẩn sử dụng:</t>
  </si>
  <si>
    <t>Số:</t>
  </si>
  <si>
    <t>%RH</t>
  </si>
  <si>
    <t>Độ ẩm:</t>
  </si>
  <si>
    <t>NGƯỜI HIỆU CHUẨN</t>
  </si>
  <si>
    <t>NGƯỜI SOÁT LẠI</t>
  </si>
  <si>
    <t>Số tem:</t>
  </si>
  <si>
    <t>TRUNG TÂM ĐO LƯỜNG
PHÒNG ĐL NHIỆT -  ÁP SUẤT</t>
  </si>
  <si>
    <r>
      <rPr>
        <sz val="13"/>
        <color theme="1"/>
        <rFont val="Times New Roman"/>
        <family val="1"/>
      </rPr>
      <t>CỘNG HÒA XÃ HỘI CHỦ NGHĨA VIỆT NAM</t>
    </r>
    <r>
      <rPr>
        <sz val="11"/>
        <color theme="1"/>
        <rFont val="Times New Roman"/>
        <family val="1"/>
      </rPr>
      <t xml:space="preserve">
</t>
    </r>
    <r>
      <rPr>
        <b/>
        <sz val="14"/>
        <color theme="1"/>
        <rFont val="Times New Roman"/>
        <family val="1"/>
      </rPr>
      <t>Độc lập - Tự do - Hạnh phúc</t>
    </r>
  </si>
  <si>
    <t>BIÊN BẢN HIỆU CHUẨN</t>
  </si>
  <si>
    <t>Số: …</t>
  </si>
  <si>
    <t>Mã hiệu:</t>
  </si>
  <si>
    <r>
      <rPr>
        <vertAlign val="superscript"/>
        <sz val="14"/>
        <color theme="1"/>
        <rFont val="Times New Roman"/>
        <family val="1"/>
      </rPr>
      <t>o</t>
    </r>
    <r>
      <rPr>
        <sz val="14"/>
        <color theme="1"/>
        <rFont val="Times New Roman"/>
        <family val="1"/>
      </rPr>
      <t>C</t>
    </r>
  </si>
  <si>
    <t>Tủ nhiệt</t>
  </si>
  <si>
    <t>-Nhiệt độ làm việc:</t>
  </si>
  <si>
    <t>1. Kiểm tra bên ngoài:</t>
  </si>
  <si>
    <t>2. Kiểm tra kỹ thuật:</t>
  </si>
  <si>
    <t xml:space="preserve">3. Kiểm tra đo lường: </t>
  </si>
  <si>
    <t>Xem trang 2</t>
  </si>
  <si>
    <t>Đạt</t>
  </si>
  <si>
    <t>Không đạt</t>
  </si>
  <si>
    <r>
      <t xml:space="preserve">Giá trị chuẩn,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</si>
  <si>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TT</t>
  </si>
  <si>
    <t>Pos. 1</t>
  </si>
  <si>
    <t>Pos.2</t>
  </si>
  <si>
    <t>Pos.3</t>
  </si>
  <si>
    <r>
      <t xml:space="preserve">Điểm kiểm tra/ giá trị chỉ thị,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</si>
  <si>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BÁO CÁO KẾT QUẢ HIỆU CHUẨN</t>
  </si>
  <si>
    <t>ƯỚC LƯỢNG ĐỘ KHÔNG ĐẢM BẢO ĐO</t>
  </si>
  <si>
    <t>Ký hiệu</t>
  </si>
  <si>
    <t>u3</t>
  </si>
  <si>
    <t>u4</t>
  </si>
  <si>
    <t>Nguồn gây ra ĐKĐBĐ</t>
  </si>
  <si>
    <t>Giá trị</t>
  </si>
  <si>
    <t>Đơn vị</t>
  </si>
  <si>
    <t>Hệ số chia</t>
  </si>
  <si>
    <t>ĐKĐB chuẩn (ui)</t>
  </si>
  <si>
    <t>Tản mát KQ đo của chuân</t>
  </si>
  <si>
    <t>u1-1</t>
  </si>
  <si>
    <t>u1-2</t>
  </si>
  <si>
    <t>u1-3</t>
  </si>
  <si>
    <t>u1-4</t>
  </si>
  <si>
    <t>u1-5</t>
  </si>
  <si>
    <t>u2-1</t>
  </si>
  <si>
    <t>Tản mát kq đo của UUT</t>
  </si>
  <si>
    <t>u2-2</t>
  </si>
  <si>
    <t>u2-3</t>
  </si>
  <si>
    <t>u2-4</t>
  </si>
  <si>
    <t>u2-5</t>
  </si>
  <si>
    <t>ĐKĐBĐ của chuẩn</t>
  </si>
  <si>
    <t>Độ phân giải của UUT</t>
  </si>
  <si>
    <t>Độ ổn định</t>
  </si>
  <si>
    <t>Độ đồng đều</t>
  </si>
  <si>
    <t>u5-1</t>
  </si>
  <si>
    <t>u5-2</t>
  </si>
  <si>
    <t>u5-3</t>
  </si>
  <si>
    <t>u5-4</t>
  </si>
  <si>
    <t>u5-5</t>
  </si>
  <si>
    <t>u6-1</t>
  </si>
  <si>
    <t>u6-2</t>
  </si>
  <si>
    <t>u6-3</t>
  </si>
  <si>
    <t>u6-4</t>
  </si>
  <si>
    <t>u6-5</t>
  </si>
  <si>
    <t>Hệ số nhậy (Ci)</t>
  </si>
  <si>
    <t>Số vị trí KT</t>
  </si>
  <si>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</si>
  <si>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r>
      <t xml:space="preserve">Điểm kiểm tra/ Giá trị chỉ thị,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</si>
  <si>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r>
      <t xml:space="preserve">Độ không đảm bảo đo U (k=2, P=95%),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</si>
  <si>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r>
      <t xml:space="preserve">Độ ổn định,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</si>
  <si>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r>
      <t xml:space="preserve">Độ đồng đều,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</si>
  <si>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Pos.4</t>
  </si>
  <si>
    <t>Pos.5</t>
  </si>
  <si>
    <r>
      <t xml:space="preserve">Số hiệu chính,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</si>
</sst>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2" fillId="0" borderId="0" xfId="0" quotePrefix="1" applyFont="1"/>
    <xf numFmtId="0" fontId="3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/>
    <xf numFmtId="0" fontId="8" fillId="0" borderId="0" xfId="0" applyFont="1" applyAlignment="1">
      <alignment horizontal="left" vertical="center"/>
    </xf>
    <xf numFmtId="0" fontId="4" fillId="0" borderId="0" xfId="0" applyFont="1" applyBorder="1" applyAlignment="1">
      <alignment vertical="top" wrapText="1"/>
    </xf>
    <xf numFmtId="3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164" fontId="4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1" fontId="2" fillId="0" borderId="0" xfId="0" applyNumberFormat="1" applyFont="1" applyBorder="1"/>
    <xf numFmtId="0" fontId="4" fillId="0" borderId="0" xfId="0" applyFont="1" applyBorder="1" applyAlignment="1">
      <alignment vertical="top"/>
    </xf>
    <xf numFmtId="3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/>
    </xf>
    <xf numFmtId="0" fontId="9" fillId="2" borderId="4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2" fillId="0" borderId="0" xfId="0" quotePrefix="1" applyFont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9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10" fillId="3" borderId="3" xfId="0" applyFont="1" applyFill="1" applyBorder="1" applyAlignment="1">
      <alignment horizontal="center"/>
    </xf>
    <xf numFmtId="164" fontId="10" fillId="3" borderId="3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64" fontId="0" fillId="3" borderId="1" xfId="0" applyNumberFormat="1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15</xdr:row>
      <xdr:rowOff>3810</xdr:rowOff>
    </xdr:from>
    <xdr:ext cx="217842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337099" y="3786916"/>
          <a:ext cx="217842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295835</xdr:colOff>
      <xdr:row>0</xdr:row>
      <xdr:rowOff>519951</xdr:rowOff>
    </xdr:from>
    <xdr:to>
      <xdr:col>2</xdr:col>
      <xdr:colOff>430306</xdr:colOff>
      <xdr:row>0</xdr:row>
      <xdr:rowOff>519951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004495" y="519951"/>
          <a:ext cx="934571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367553</xdr:colOff>
      <xdr:row>0</xdr:row>
      <xdr:rowOff>484094</xdr:rowOff>
    </xdr:from>
    <xdr:to>
      <xdr:col>8</xdr:col>
      <xdr:colOff>35858</xdr:colOff>
      <xdr:row>0</xdr:row>
      <xdr:rowOff>484094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987053" y="484094"/>
          <a:ext cx="172570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15</xdr:row>
      <xdr:rowOff>3810</xdr:rowOff>
    </xdr:from>
    <xdr:ext cx="217842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58AAFB-A9E3-4679-BFD6-345B6A12F4A5}"/>
            </a:ext>
          </a:extLst>
        </xdr:cNvPr>
        <xdr:cNvSpPr txBox="1"/>
      </xdr:nvSpPr>
      <xdr:spPr>
        <a:xfrm>
          <a:off x="2339340" y="4629150"/>
          <a:ext cx="217842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295835</xdr:colOff>
      <xdr:row>0</xdr:row>
      <xdr:rowOff>519951</xdr:rowOff>
    </xdr:from>
    <xdr:to>
      <xdr:col>2</xdr:col>
      <xdr:colOff>430306</xdr:colOff>
      <xdr:row>0</xdr:row>
      <xdr:rowOff>519951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DC2526E-057C-401C-8ACF-E8849D2F840F}"/>
            </a:ext>
          </a:extLst>
        </xdr:cNvPr>
        <xdr:cNvCxnSpPr/>
      </xdr:nvCxnSpPr>
      <xdr:spPr>
        <a:xfrm>
          <a:off x="1004495" y="519951"/>
          <a:ext cx="934571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367553</xdr:colOff>
      <xdr:row>0</xdr:row>
      <xdr:rowOff>484094</xdr:rowOff>
    </xdr:from>
    <xdr:to>
      <xdr:col>8</xdr:col>
      <xdr:colOff>35858</xdr:colOff>
      <xdr:row>0</xdr:row>
      <xdr:rowOff>484094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BEFFEB9-BCAB-4509-A72E-01C8F890E480}"/>
            </a:ext>
          </a:extLst>
        </xdr:cNvPr>
        <xdr:cNvCxnSpPr/>
      </xdr:nvCxnSpPr>
      <xdr:spPr>
        <a:xfrm>
          <a:off x="3987053" y="484094"/>
          <a:ext cx="183238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"/>
  <sheetViews>
    <sheetView tabSelected="1" view="pageLayout" topLeftCell="H1" zoomScale="55" zoomScaleNormal="100" zoomScalePageLayoutView="55" workbookViewId="0">
      <selection activeCell="R22" sqref="R22"/>
    </sheetView>
  </sheetViews>
  <sheetFormatPr defaultColWidth="2.5546875" defaultRowHeight="14.4" x14ac:dyDescent="0.3"/>
  <cols>
    <col min="1" max="1" width="9.88671875" customWidth="1"/>
    <col min="2" max="2" width="11.21875" customWidth="1"/>
    <col min="3" max="3" width="11.33203125" customWidth="1"/>
    <col min="4" max="6" width="9" bestFit="1" customWidth="1"/>
    <col min="7" max="7" width="10.77734375" customWidth="1"/>
    <col min="8" max="8" width="10.44140625" customWidth="1"/>
    <col min="9" max="9" width="12.21875" customWidth="1"/>
    <col min="10" max="10" width="13.21875" customWidth="1"/>
    <col min="11" max="11" width="17.21875" customWidth="1"/>
    <col min="12" max="12" width="18.33203125" customWidth="1"/>
    <col min="13" max="13" width="18.88671875" customWidth="1"/>
    <col min="14" max="14" width="26" customWidth="1"/>
    <col min="15" max="15" width="12.5546875" customWidth="1"/>
    <col min="16" max="16" width="16.21875" customWidth="1"/>
    <col min="17" max="17" width="16.77734375" customWidth="1"/>
    <col min="18" max="19" width="12.5546875" customWidth="1"/>
    <col min="20" max="20" width="23.88671875" customWidth="1"/>
    <col min="21" max="21" width="6.77734375" customWidth="1"/>
    <col min="22" max="22" width="21.77734375" customWidth="1"/>
    <col min="23" max="23" width="12.5546875" customWidth="1"/>
    <col min="24" max="24" width="10.5546875" customWidth="1"/>
    <col min="25" max="25" width="9.44140625" customWidth="1"/>
    <col min="26" max="26" width="11.44140625" customWidth="1"/>
    <col min="27" max="27" width="18.6640625" customWidth="1"/>
    <col min="28" max="28" width="12.5546875" customWidth="1"/>
  </cols>
  <sheetData>
    <row r="1" spans="1:27" ht="50.4" customHeight="1" x14ac:dyDescent="0.3">
      <c r="A1" s="38" t="s">
        <v>18</v>
      </c>
      <c r="B1" s="38"/>
      <c r="C1" s="38"/>
      <c r="D1" s="38"/>
      <c r="E1" s="39" t="s">
        <v>19</v>
      </c>
      <c r="F1" s="39"/>
      <c r="G1" s="39"/>
      <c r="H1" s="39"/>
      <c r="I1" s="39"/>
      <c r="J1" s="41" t="s">
        <v>9</v>
      </c>
      <c r="K1" s="41"/>
      <c r="L1" s="41"/>
      <c r="M1" s="41"/>
      <c r="N1" s="41"/>
      <c r="O1" s="35" t="s">
        <v>38</v>
      </c>
      <c r="P1" s="35"/>
      <c r="Q1" s="35"/>
      <c r="R1" s="35"/>
      <c r="S1" s="35"/>
      <c r="T1" s="35"/>
      <c r="U1" s="33" t="s">
        <v>39</v>
      </c>
      <c r="V1" s="33"/>
      <c r="W1" s="33"/>
      <c r="X1" s="33"/>
      <c r="Y1" s="33"/>
      <c r="Z1" s="33"/>
      <c r="AA1" s="33"/>
    </row>
    <row r="2" spans="1:27" ht="20.100000000000001" customHeight="1" x14ac:dyDescent="0.3">
      <c r="A2" s="7"/>
      <c r="B2" s="7"/>
      <c r="C2" s="8"/>
      <c r="D2" s="10" t="s">
        <v>20</v>
      </c>
      <c r="E2" s="7"/>
      <c r="F2" s="7"/>
      <c r="G2" s="7"/>
      <c r="H2" s="7"/>
      <c r="I2" s="7"/>
      <c r="J2" s="36" t="s">
        <v>33</v>
      </c>
      <c r="K2" s="37" t="s">
        <v>37</v>
      </c>
      <c r="L2" s="42" t="s">
        <v>32</v>
      </c>
      <c r="M2" s="42"/>
      <c r="N2" s="42"/>
      <c r="Y2" t="s">
        <v>75</v>
      </c>
      <c r="Z2">
        <v>3</v>
      </c>
    </row>
    <row r="3" spans="1:27" ht="32.4" customHeight="1" x14ac:dyDescent="0.35">
      <c r="A3" s="7"/>
      <c r="B3" s="7"/>
      <c r="C3" s="7"/>
      <c r="D3" s="7"/>
      <c r="E3" s="2" t="s">
        <v>21</v>
      </c>
      <c r="F3" s="7"/>
      <c r="G3" s="7"/>
      <c r="H3" s="7"/>
      <c r="I3" s="7"/>
      <c r="J3" s="36"/>
      <c r="K3" s="37"/>
      <c r="L3" s="23" t="s">
        <v>34</v>
      </c>
      <c r="M3" s="23" t="s">
        <v>35</v>
      </c>
      <c r="N3" s="23" t="s">
        <v>36</v>
      </c>
      <c r="O3" s="36" t="s">
        <v>33</v>
      </c>
      <c r="P3" s="37" t="s">
        <v>77</v>
      </c>
      <c r="Q3" s="37" t="s">
        <v>32</v>
      </c>
      <c r="R3" s="37" t="s">
        <v>79</v>
      </c>
      <c r="S3" s="37" t="s">
        <v>80</v>
      </c>
      <c r="T3" s="34" t="s">
        <v>78</v>
      </c>
      <c r="U3" s="31" t="s">
        <v>40</v>
      </c>
      <c r="V3" s="31" t="s">
        <v>43</v>
      </c>
      <c r="W3" s="31" t="s">
        <v>44</v>
      </c>
      <c r="X3" s="31" t="s">
        <v>45</v>
      </c>
      <c r="Y3" s="31" t="s">
        <v>46</v>
      </c>
      <c r="Z3" s="32" t="s">
        <v>74</v>
      </c>
      <c r="AA3" s="31" t="s">
        <v>47</v>
      </c>
    </row>
    <row r="4" spans="1:27" ht="20.100000000000001" customHeight="1" x14ac:dyDescent="0.3">
      <c r="J4" s="21"/>
      <c r="K4" s="22"/>
      <c r="L4" s="22"/>
      <c r="M4" s="22"/>
      <c r="N4" s="22"/>
      <c r="O4" s="36"/>
      <c r="P4" s="37"/>
      <c r="Q4" s="37"/>
      <c r="R4" s="37"/>
      <c r="S4" s="37"/>
      <c r="T4" s="34"/>
      <c r="U4" s="31"/>
      <c r="V4" s="31"/>
      <c r="W4" s="31"/>
      <c r="X4" s="31"/>
      <c r="Y4" s="31"/>
      <c r="Z4" s="32"/>
      <c r="AA4" s="31"/>
    </row>
    <row r="5" spans="1:27" ht="20.100000000000001" customHeight="1" x14ac:dyDescent="0.3">
      <c r="J5" s="50"/>
      <c r="K5" s="51"/>
      <c r="L5" s="51"/>
      <c r="M5" s="51"/>
      <c r="N5" s="51"/>
      <c r="O5" s="50"/>
      <c r="P5" s="54"/>
      <c r="Q5" s="55"/>
      <c r="R5" s="54"/>
      <c r="S5" s="54"/>
      <c r="T5" s="56"/>
      <c r="U5" s="27" t="s">
        <v>49</v>
      </c>
      <c r="V5" s="27" t="s">
        <v>48</v>
      </c>
      <c r="W5" s="27" t="e">
        <f>SQRT(STDEV(L4:L8)^2+STDEV(M4:M8)^2+STDEV(N4:N8)^2)/SQRT(3*5)</f>
        <v>#DIV/0!</v>
      </c>
      <c r="X5" s="25" t="s">
        <v>76</v>
      </c>
      <c r="Y5" s="25">
        <v>1</v>
      </c>
      <c r="Z5" s="25">
        <v>1</v>
      </c>
      <c r="AA5" s="28" t="str">
        <f>IFERROR(W5*Z5/Y5," ")</f>
        <v xml:space="preserve"> </v>
      </c>
    </row>
    <row r="6" spans="1:27" ht="22.65" customHeight="1" x14ac:dyDescent="0.35">
      <c r="A6" s="43" t="s">
        <v>2</v>
      </c>
      <c r="B6" s="43"/>
      <c r="C6" s="2" t="s">
        <v>24</v>
      </c>
      <c r="D6" s="2"/>
      <c r="E6" s="2"/>
      <c r="F6" s="2"/>
      <c r="G6" s="2"/>
      <c r="H6" s="2"/>
      <c r="I6" s="2"/>
      <c r="J6" s="50"/>
      <c r="K6" s="51"/>
      <c r="L6" s="51"/>
      <c r="M6" s="51"/>
      <c r="N6" s="51"/>
      <c r="O6" s="50"/>
      <c r="P6" s="54"/>
      <c r="Q6" s="55"/>
      <c r="R6" s="54"/>
      <c r="S6" s="54"/>
      <c r="T6" s="56"/>
      <c r="U6" s="27" t="s">
        <v>50</v>
      </c>
      <c r="V6" s="27" t="s">
        <v>48</v>
      </c>
      <c r="W6" s="27" t="e">
        <f>SQRT(STDEV(L10:L14)^2+STDEV(M10:M14)^2+STDEV(N10:N14)^2)/SQRT(3*5)</f>
        <v>#DIV/0!</v>
      </c>
      <c r="X6" s="25" t="s">
        <v>76</v>
      </c>
      <c r="Y6" s="25">
        <v>1</v>
      </c>
      <c r="Z6" s="25">
        <v>1</v>
      </c>
      <c r="AA6" s="28" t="str">
        <f t="shared" ref="AA6:AA26" si="0">IFERROR(W6*Z6/Y6," ")</f>
        <v xml:space="preserve"> </v>
      </c>
    </row>
    <row r="7" spans="1:27" ht="22.65" customHeight="1" x14ac:dyDescent="0.35">
      <c r="A7" s="2" t="s">
        <v>1</v>
      </c>
      <c r="B7" s="2"/>
      <c r="C7" s="2"/>
      <c r="D7" s="2"/>
      <c r="E7" s="2"/>
      <c r="F7" s="2"/>
      <c r="G7" s="2" t="s">
        <v>12</v>
      </c>
      <c r="H7" s="40"/>
      <c r="I7" s="40"/>
      <c r="J7" s="50"/>
      <c r="K7" s="51"/>
      <c r="L7" s="51"/>
      <c r="M7" s="51"/>
      <c r="N7" s="51"/>
      <c r="O7" s="50"/>
      <c r="P7" s="54"/>
      <c r="Q7" s="55"/>
      <c r="R7" s="54"/>
      <c r="S7" s="54"/>
      <c r="T7" s="56"/>
      <c r="U7" s="27" t="s">
        <v>51</v>
      </c>
      <c r="V7" s="27" t="s">
        <v>48</v>
      </c>
      <c r="W7" s="27" t="e">
        <f>SQRT(STDEV(L16:L20)^2+STDEV(M16:M20)^2+STDEV(N16:N20)^2)/SQRT(3*5)</f>
        <v>#DIV/0!</v>
      </c>
      <c r="X7" s="25" t="s">
        <v>76</v>
      </c>
      <c r="Y7" s="25">
        <v>1</v>
      </c>
      <c r="Z7" s="25">
        <v>1</v>
      </c>
      <c r="AA7" s="28" t="str">
        <f t="shared" si="0"/>
        <v xml:space="preserve"> </v>
      </c>
    </row>
    <row r="8" spans="1:27" ht="22.65" customHeight="1" x14ac:dyDescent="0.35">
      <c r="A8" s="43" t="s">
        <v>0</v>
      </c>
      <c r="B8" s="43"/>
      <c r="C8" s="2"/>
      <c r="D8" s="2"/>
      <c r="E8" s="2"/>
      <c r="F8" s="2"/>
      <c r="G8" s="2" t="s">
        <v>22</v>
      </c>
      <c r="H8" s="2"/>
      <c r="I8" s="2"/>
      <c r="J8" s="50"/>
      <c r="K8" s="51"/>
      <c r="L8" s="51"/>
      <c r="M8" s="51"/>
      <c r="N8" s="51"/>
      <c r="O8" s="50"/>
      <c r="P8" s="54"/>
      <c r="Q8" s="55"/>
      <c r="R8" s="54"/>
      <c r="S8" s="54"/>
      <c r="T8" s="56"/>
      <c r="U8" s="27" t="s">
        <v>52</v>
      </c>
      <c r="V8" s="27" t="s">
        <v>48</v>
      </c>
      <c r="W8" s="27" t="str">
        <f>IFERROR(SQRT(STDEV(L22:L26)^2+STDEV(M22:M26)^2+STDEV(N22:N26)^2)/SQRT(3*5)," ")</f>
        <v xml:space="preserve"> </v>
      </c>
      <c r="X8" s="25" t="s">
        <v>76</v>
      </c>
      <c r="Y8" s="25">
        <v>1</v>
      </c>
      <c r="Z8" s="25">
        <v>1</v>
      </c>
      <c r="AA8" s="28" t="str">
        <f t="shared" si="0"/>
        <v xml:space="preserve"> </v>
      </c>
    </row>
    <row r="9" spans="1:27" ht="22.65" customHeight="1" thickBot="1" x14ac:dyDescent="0.4">
      <c r="A9" s="43" t="s">
        <v>3</v>
      </c>
      <c r="B9" s="43"/>
      <c r="C9" s="2"/>
      <c r="D9" s="2"/>
      <c r="E9" s="2"/>
      <c r="F9" s="2"/>
      <c r="G9" s="2"/>
      <c r="H9" s="2"/>
      <c r="I9" s="2"/>
      <c r="J9" s="48"/>
      <c r="K9" s="48"/>
      <c r="L9" s="49"/>
      <c r="M9" s="49"/>
      <c r="N9" s="49"/>
      <c r="O9" s="50"/>
      <c r="P9" s="53"/>
      <c r="Q9" s="55"/>
      <c r="R9" s="54"/>
      <c r="S9" s="54"/>
      <c r="T9" s="56"/>
      <c r="U9" s="27" t="s">
        <v>53</v>
      </c>
      <c r="V9" s="27" t="s">
        <v>48</v>
      </c>
      <c r="W9" s="27" t="str">
        <f>IFERROR(SQRT(STDEV(L28:L32)^2+STDEV(M28:M32)^2+STDEV(N28:N32)^2)/SQRT(3*5)," ")</f>
        <v xml:space="preserve"> </v>
      </c>
      <c r="X9" s="25" t="s">
        <v>76</v>
      </c>
      <c r="Y9" s="25">
        <v>1</v>
      </c>
      <c r="Z9" s="25">
        <v>1</v>
      </c>
      <c r="AA9" s="28" t="str">
        <f t="shared" si="0"/>
        <v xml:space="preserve"> </v>
      </c>
    </row>
    <row r="10" spans="1:27" ht="22.65" customHeight="1" thickTop="1" x14ac:dyDescent="0.35">
      <c r="A10" s="46" t="s">
        <v>25</v>
      </c>
      <c r="B10" s="46"/>
      <c r="C10" s="47"/>
      <c r="D10" s="47"/>
      <c r="E10" s="2" t="s">
        <v>23</v>
      </c>
      <c r="F10" s="2"/>
      <c r="G10" s="2"/>
      <c r="H10" s="2"/>
      <c r="I10" s="2"/>
      <c r="J10" s="50"/>
      <c r="K10" s="51"/>
      <c r="L10" s="51"/>
      <c r="M10" s="51"/>
      <c r="N10" s="51"/>
      <c r="U10" s="27" t="s">
        <v>54</v>
      </c>
      <c r="V10" s="27" t="s">
        <v>55</v>
      </c>
      <c r="W10" s="27" t="str">
        <f>IFERROR(STDEV(K4:K8)/SQRT(5)," ")</f>
        <v xml:space="preserve"> </v>
      </c>
      <c r="X10" s="25" t="s">
        <v>76</v>
      </c>
      <c r="Y10" s="25">
        <v>1</v>
      </c>
      <c r="Z10" s="25">
        <v>1</v>
      </c>
      <c r="AA10" s="28" t="str">
        <f t="shared" si="0"/>
        <v xml:space="preserve"> </v>
      </c>
    </row>
    <row r="11" spans="1:27" ht="22.65" customHeight="1" x14ac:dyDescent="0.35">
      <c r="A11" s="46" t="s">
        <v>10</v>
      </c>
      <c r="B11" s="46"/>
      <c r="C11" s="2"/>
      <c r="D11" s="2" t="s">
        <v>23</v>
      </c>
      <c r="E11" s="2"/>
      <c r="F11" s="2"/>
      <c r="G11" s="2"/>
      <c r="H11" s="2"/>
      <c r="I11" s="2"/>
      <c r="J11" s="50"/>
      <c r="K11" s="51"/>
      <c r="L11" s="51"/>
      <c r="M11" s="51"/>
      <c r="N11" s="51"/>
      <c r="U11" s="27" t="s">
        <v>56</v>
      </c>
      <c r="V11" s="27" t="s">
        <v>55</v>
      </c>
      <c r="W11" s="27" t="str">
        <f>IFERROR(STDEV(K10:K14)/SQRT(5)," ")</f>
        <v xml:space="preserve"> </v>
      </c>
      <c r="X11" s="25" t="s">
        <v>76</v>
      </c>
      <c r="Y11" s="25">
        <v>1</v>
      </c>
      <c r="Z11" s="25">
        <v>1</v>
      </c>
      <c r="AA11" s="28" t="str">
        <f t="shared" si="0"/>
        <v xml:space="preserve"> </v>
      </c>
    </row>
    <row r="12" spans="1:27" ht="22.65" customHeight="1" x14ac:dyDescent="0.35">
      <c r="A12" s="9" t="s">
        <v>4</v>
      </c>
      <c r="B12" s="9"/>
      <c r="D12" s="2"/>
      <c r="E12" s="2"/>
      <c r="F12" s="2"/>
      <c r="G12" s="2"/>
      <c r="H12" s="2"/>
      <c r="I12" s="2"/>
      <c r="J12" s="50"/>
      <c r="K12" s="51"/>
      <c r="L12" s="51"/>
      <c r="M12" s="51"/>
      <c r="N12" s="51"/>
      <c r="U12" s="27" t="s">
        <v>57</v>
      </c>
      <c r="V12" s="27" t="s">
        <v>55</v>
      </c>
      <c r="W12" s="27" t="str">
        <f>IFERROR(STDEV(K16:K20)/SQRT(5)," ")</f>
        <v xml:space="preserve"> </v>
      </c>
      <c r="X12" s="25" t="s">
        <v>76</v>
      </c>
      <c r="Y12" s="25">
        <v>1</v>
      </c>
      <c r="Z12" s="25">
        <v>1</v>
      </c>
      <c r="AA12" s="28" t="str">
        <f t="shared" si="0"/>
        <v xml:space="preserve"> </v>
      </c>
    </row>
    <row r="13" spans="1:27" ht="22.65" customHeight="1" x14ac:dyDescent="0.35">
      <c r="A13" s="43" t="s">
        <v>5</v>
      </c>
      <c r="B13" s="43"/>
      <c r="C13" s="2"/>
      <c r="D13" s="2"/>
      <c r="E13" s="2"/>
      <c r="F13" s="2"/>
      <c r="G13" s="2"/>
      <c r="H13" s="6"/>
      <c r="I13" s="2"/>
      <c r="J13" s="50"/>
      <c r="K13" s="51"/>
      <c r="L13" s="51"/>
      <c r="M13" s="51"/>
      <c r="N13" s="51"/>
      <c r="U13" s="27" t="s">
        <v>58</v>
      </c>
      <c r="V13" s="27" t="s">
        <v>55</v>
      </c>
      <c r="W13" s="27" t="str">
        <f>IFERROR(STDEV(K22:K26)/SQRT(5)," ")</f>
        <v xml:space="preserve"> </v>
      </c>
      <c r="X13" s="25" t="s">
        <v>76</v>
      </c>
      <c r="Y13" s="25">
        <v>1</v>
      </c>
      <c r="Z13" s="25">
        <v>1</v>
      </c>
      <c r="AA13" s="28" t="str">
        <f t="shared" si="0"/>
        <v xml:space="preserve"> </v>
      </c>
    </row>
    <row r="14" spans="1:27" ht="22.6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50"/>
      <c r="K14" s="51"/>
      <c r="L14" s="51"/>
      <c r="M14" s="51"/>
      <c r="N14" s="51"/>
      <c r="U14" s="27" t="s">
        <v>59</v>
      </c>
      <c r="V14" s="27" t="s">
        <v>55</v>
      </c>
      <c r="W14" s="27" t="str">
        <f>IFERROR(STDEV(K28:K32)/SQRT(5)," ")</f>
        <v xml:space="preserve"> </v>
      </c>
      <c r="X14" s="25" t="s">
        <v>76</v>
      </c>
      <c r="Y14" s="25">
        <v>1</v>
      </c>
      <c r="Z14" s="25">
        <v>1</v>
      </c>
      <c r="AA14" s="28" t="str">
        <f t="shared" si="0"/>
        <v xml:space="preserve"> </v>
      </c>
    </row>
    <row r="15" spans="1:27" ht="22.65" customHeight="1" thickBot="1" x14ac:dyDescent="0.4">
      <c r="A15" s="2" t="s">
        <v>6</v>
      </c>
      <c r="B15" s="2"/>
      <c r="C15" s="2"/>
      <c r="D15" s="2"/>
      <c r="E15" s="2"/>
      <c r="F15" s="2"/>
      <c r="G15" s="2"/>
      <c r="H15" s="2"/>
      <c r="I15" s="2"/>
      <c r="J15" s="48"/>
      <c r="K15" s="48"/>
      <c r="L15" s="49"/>
      <c r="M15" s="49"/>
      <c r="N15" s="49"/>
      <c r="U15" s="27" t="s">
        <v>41</v>
      </c>
      <c r="V15" s="27" t="s">
        <v>60</v>
      </c>
      <c r="W15" s="27">
        <v>0.4</v>
      </c>
      <c r="X15" s="25" t="s">
        <v>76</v>
      </c>
      <c r="Y15" s="25">
        <v>2</v>
      </c>
      <c r="Z15" s="25">
        <v>1</v>
      </c>
      <c r="AA15" s="28">
        <f t="shared" si="0"/>
        <v>0.2</v>
      </c>
    </row>
    <row r="16" spans="1:27" ht="22.65" customHeight="1" thickTop="1" x14ac:dyDescent="0.35">
      <c r="A16" s="2"/>
      <c r="B16" s="2" t="s">
        <v>7</v>
      </c>
      <c r="C16" s="2"/>
      <c r="D16" s="2" t="s">
        <v>23</v>
      </c>
      <c r="E16" s="2"/>
      <c r="F16" s="2" t="s">
        <v>14</v>
      </c>
      <c r="G16" s="2"/>
      <c r="H16" s="2" t="s">
        <v>13</v>
      </c>
      <c r="I16" s="2"/>
      <c r="J16" s="50"/>
      <c r="K16" s="51"/>
      <c r="L16" s="51"/>
      <c r="M16" s="51"/>
      <c r="N16" s="51"/>
      <c r="U16" s="27" t="s">
        <v>42</v>
      </c>
      <c r="V16" s="27" t="s">
        <v>61</v>
      </c>
      <c r="W16" s="27">
        <f>C11</f>
        <v>0</v>
      </c>
      <c r="X16" s="25" t="s">
        <v>76</v>
      </c>
      <c r="Y16" s="25">
        <f>2*SQRT(3)</f>
        <v>3.4641016151377544</v>
      </c>
      <c r="Z16" s="25">
        <v>1</v>
      </c>
      <c r="AA16" s="28">
        <f t="shared" si="0"/>
        <v>0</v>
      </c>
    </row>
    <row r="17" spans="1:27" ht="22.65" customHeight="1" x14ac:dyDescent="0.35">
      <c r="A17" s="2" t="s">
        <v>11</v>
      </c>
      <c r="B17" s="2"/>
      <c r="C17" s="2"/>
      <c r="D17" s="2"/>
      <c r="E17" s="2"/>
      <c r="F17" s="2"/>
      <c r="G17" s="2"/>
      <c r="H17" s="2"/>
      <c r="I17" s="2"/>
      <c r="J17" s="50"/>
      <c r="K17" s="51"/>
      <c r="L17" s="51"/>
      <c r="M17" s="51"/>
      <c r="N17" s="51"/>
      <c r="U17" s="27" t="s">
        <v>64</v>
      </c>
      <c r="V17" s="27" t="s">
        <v>62</v>
      </c>
      <c r="W17" s="27">
        <f>R5</f>
        <v>0</v>
      </c>
      <c r="X17" s="25" t="s">
        <v>76</v>
      </c>
      <c r="Y17" s="25">
        <f>SQRT(3)</f>
        <v>1.7320508075688772</v>
      </c>
      <c r="Z17" s="25">
        <v>1</v>
      </c>
      <c r="AA17" s="28">
        <f t="shared" si="0"/>
        <v>0</v>
      </c>
    </row>
    <row r="18" spans="1:27" ht="22.65" customHeight="1" x14ac:dyDescent="0.35">
      <c r="A18" s="45"/>
      <c r="B18" s="45"/>
      <c r="C18" s="45"/>
      <c r="D18" s="2"/>
      <c r="E18" s="2"/>
      <c r="F18" s="2"/>
      <c r="G18" s="2"/>
      <c r="H18" s="2"/>
      <c r="I18" s="2"/>
      <c r="J18" s="50"/>
      <c r="K18" s="51"/>
      <c r="L18" s="51"/>
      <c r="M18" s="51"/>
      <c r="N18" s="51"/>
      <c r="U18" s="27" t="s">
        <v>65</v>
      </c>
      <c r="V18" s="27" t="s">
        <v>62</v>
      </c>
      <c r="W18" s="27">
        <f t="shared" ref="W18:W21" si="1">R6</f>
        <v>0</v>
      </c>
      <c r="X18" s="25" t="s">
        <v>76</v>
      </c>
      <c r="Y18" s="25">
        <f>SQRT(3)</f>
        <v>1.7320508075688772</v>
      </c>
      <c r="Z18" s="25">
        <v>1</v>
      </c>
      <c r="AA18" s="28">
        <f t="shared" si="0"/>
        <v>0</v>
      </c>
    </row>
    <row r="19" spans="1:27" ht="22.65" customHeight="1" x14ac:dyDescent="0.35">
      <c r="A19" s="2" t="s">
        <v>8</v>
      </c>
      <c r="B19" s="2"/>
      <c r="C19" s="3"/>
      <c r="D19" s="2"/>
      <c r="E19" s="2"/>
      <c r="F19" s="2"/>
      <c r="G19" s="2" t="s">
        <v>17</v>
      </c>
      <c r="H19" s="4"/>
      <c r="I19" s="2"/>
      <c r="J19" s="50"/>
      <c r="K19" s="51"/>
      <c r="L19" s="51"/>
      <c r="M19" s="51"/>
      <c r="N19" s="51"/>
      <c r="U19" s="27" t="s">
        <v>66</v>
      </c>
      <c r="V19" s="27" t="s">
        <v>62</v>
      </c>
      <c r="W19" s="27">
        <f t="shared" si="1"/>
        <v>0</v>
      </c>
      <c r="X19" s="25" t="s">
        <v>76</v>
      </c>
      <c r="Y19" s="25">
        <f t="shared" ref="Y19:Y26" si="2">SQRT(3)</f>
        <v>1.7320508075688772</v>
      </c>
      <c r="Z19" s="25">
        <v>1</v>
      </c>
      <c r="AA19" s="28">
        <f t="shared" si="0"/>
        <v>0</v>
      </c>
    </row>
    <row r="20" spans="1:27" ht="22.6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50"/>
      <c r="K20" s="51"/>
      <c r="L20" s="51"/>
      <c r="M20" s="51"/>
      <c r="N20" s="51"/>
      <c r="U20" s="27" t="s">
        <v>67</v>
      </c>
      <c r="V20" s="27" t="s">
        <v>62</v>
      </c>
      <c r="W20" s="27">
        <f t="shared" si="1"/>
        <v>0</v>
      </c>
      <c r="X20" s="25" t="s">
        <v>76</v>
      </c>
      <c r="Y20" s="25">
        <f t="shared" si="2"/>
        <v>1.7320508075688772</v>
      </c>
      <c r="Z20" s="25">
        <v>1</v>
      </c>
      <c r="AA20" s="28">
        <f t="shared" si="0"/>
        <v>0</v>
      </c>
    </row>
    <row r="21" spans="1:27" ht="22.65" customHeight="1" thickBot="1" x14ac:dyDescent="0.4">
      <c r="A21" s="2"/>
      <c r="B21" s="2"/>
      <c r="C21" s="2"/>
      <c r="D21" s="1" t="s">
        <v>9</v>
      </c>
      <c r="E21" s="2"/>
      <c r="F21" s="2"/>
      <c r="G21" s="2"/>
      <c r="H21" s="2"/>
      <c r="I21" s="2"/>
      <c r="J21" s="48"/>
      <c r="K21" s="48"/>
      <c r="L21" s="49"/>
      <c r="M21" s="49"/>
      <c r="N21" s="49"/>
      <c r="U21" s="27" t="s">
        <v>68</v>
      </c>
      <c r="V21" s="27" t="s">
        <v>62</v>
      </c>
      <c r="W21" s="27">
        <f t="shared" si="1"/>
        <v>0</v>
      </c>
      <c r="X21" s="25" t="s">
        <v>76</v>
      </c>
      <c r="Y21" s="25">
        <f t="shared" si="2"/>
        <v>1.7320508075688772</v>
      </c>
      <c r="Z21" s="25">
        <v>1</v>
      </c>
      <c r="AA21" s="28">
        <f t="shared" si="0"/>
        <v>0</v>
      </c>
    </row>
    <row r="22" spans="1:27" ht="22.65" customHeight="1" thickTop="1" x14ac:dyDescent="0.35">
      <c r="A22" s="2"/>
      <c r="B22" s="2"/>
      <c r="C22" s="2"/>
      <c r="D22" s="2"/>
      <c r="E22" s="2"/>
      <c r="F22" s="2"/>
      <c r="G22" s="2"/>
      <c r="H22" s="2"/>
      <c r="I22" s="2"/>
      <c r="J22" s="50"/>
      <c r="K22" s="51"/>
      <c r="L22" s="51"/>
      <c r="M22" s="51"/>
      <c r="N22" s="51"/>
      <c r="U22" s="27" t="s">
        <v>69</v>
      </c>
      <c r="V22" s="27" t="s">
        <v>63</v>
      </c>
      <c r="W22" s="27">
        <f>S5</f>
        <v>0</v>
      </c>
      <c r="X22" s="25" t="s">
        <v>76</v>
      </c>
      <c r="Y22" s="25">
        <f t="shared" si="2"/>
        <v>1.7320508075688772</v>
      </c>
      <c r="Z22" s="25">
        <v>1</v>
      </c>
      <c r="AA22" s="28">
        <f t="shared" si="0"/>
        <v>0</v>
      </c>
    </row>
    <row r="23" spans="1:27" ht="22.65" customHeight="1" x14ac:dyDescent="0.3">
      <c r="A23" s="18" t="s">
        <v>26</v>
      </c>
      <c r="B23" s="18"/>
      <c r="C23" s="18"/>
      <c r="D23" s="18" t="s">
        <v>30</v>
      </c>
      <c r="E23" s="18"/>
      <c r="F23" s="18"/>
      <c r="G23" s="11" t="s">
        <v>31</v>
      </c>
      <c r="H23" s="11"/>
      <c r="I23" s="11"/>
      <c r="J23" s="50"/>
      <c r="K23" s="51"/>
      <c r="L23" s="51"/>
      <c r="M23" s="51"/>
      <c r="N23" s="51"/>
      <c r="U23" s="27" t="s">
        <v>70</v>
      </c>
      <c r="V23" s="27" t="s">
        <v>63</v>
      </c>
      <c r="W23" s="27">
        <f t="shared" ref="W23:W26" si="3">S6</f>
        <v>0</v>
      </c>
      <c r="X23" s="25" t="s">
        <v>76</v>
      </c>
      <c r="Y23" s="25">
        <f t="shared" si="2"/>
        <v>1.7320508075688772</v>
      </c>
      <c r="Z23" s="25">
        <v>1</v>
      </c>
      <c r="AA23" s="28">
        <f t="shared" si="0"/>
        <v>0</v>
      </c>
    </row>
    <row r="24" spans="1:27" ht="22.65" customHeight="1" x14ac:dyDescent="0.3">
      <c r="A24" s="20" t="s">
        <v>27</v>
      </c>
      <c r="B24" s="14"/>
      <c r="C24" s="14"/>
      <c r="D24" s="14"/>
      <c r="E24" s="14"/>
      <c r="F24" s="14"/>
      <c r="G24" s="11"/>
      <c r="H24" s="11"/>
      <c r="I24" s="11"/>
      <c r="J24" s="50"/>
      <c r="K24" s="51"/>
      <c r="L24" s="51"/>
      <c r="M24" s="51"/>
      <c r="N24" s="51"/>
      <c r="U24" s="27" t="s">
        <v>71</v>
      </c>
      <c r="V24" s="27" t="s">
        <v>63</v>
      </c>
      <c r="W24" s="27">
        <f t="shared" si="3"/>
        <v>0</v>
      </c>
      <c r="X24" s="25" t="s">
        <v>76</v>
      </c>
      <c r="Y24" s="25">
        <f t="shared" si="2"/>
        <v>1.7320508075688772</v>
      </c>
      <c r="Z24" s="25">
        <v>1</v>
      </c>
      <c r="AA24" s="28">
        <f t="shared" si="0"/>
        <v>0</v>
      </c>
    </row>
    <row r="25" spans="1:27" ht="22.65" customHeight="1" x14ac:dyDescent="0.3">
      <c r="A25" s="19" t="s">
        <v>28</v>
      </c>
      <c r="B25" s="12"/>
      <c r="C25" s="12" t="s">
        <v>29</v>
      </c>
      <c r="D25" s="12"/>
      <c r="E25" s="12"/>
      <c r="F25" s="12"/>
      <c r="G25" s="12"/>
      <c r="H25" s="13"/>
      <c r="I25" s="15"/>
      <c r="J25" s="50"/>
      <c r="K25" s="51"/>
      <c r="L25" s="51"/>
      <c r="M25" s="51"/>
      <c r="N25" s="51"/>
      <c r="U25" s="27" t="s">
        <v>72</v>
      </c>
      <c r="V25" s="27" t="s">
        <v>63</v>
      </c>
      <c r="W25" s="27">
        <f t="shared" si="3"/>
        <v>0</v>
      </c>
      <c r="X25" s="25" t="s">
        <v>76</v>
      </c>
      <c r="Y25" s="25">
        <f t="shared" si="2"/>
        <v>1.7320508075688772</v>
      </c>
      <c r="Z25" s="25">
        <v>1</v>
      </c>
      <c r="AA25" s="28">
        <f t="shared" si="0"/>
        <v>0</v>
      </c>
    </row>
    <row r="26" spans="1:27" ht="16.8" x14ac:dyDescent="0.3">
      <c r="A26" s="12"/>
      <c r="B26" s="12"/>
      <c r="C26" s="12"/>
      <c r="D26" s="12"/>
      <c r="E26" s="12"/>
      <c r="F26" s="12"/>
      <c r="G26" s="12"/>
      <c r="H26" s="13"/>
      <c r="I26" s="15"/>
      <c r="J26" s="50"/>
      <c r="K26" s="51"/>
      <c r="L26" s="51"/>
      <c r="M26" s="51"/>
      <c r="N26" s="51"/>
      <c r="U26" s="27" t="s">
        <v>73</v>
      </c>
      <c r="V26" s="27" t="s">
        <v>63</v>
      </c>
      <c r="W26" s="27">
        <f t="shared" si="3"/>
        <v>0</v>
      </c>
      <c r="X26" s="25" t="s">
        <v>76</v>
      </c>
      <c r="Y26" s="25">
        <f t="shared" si="2"/>
        <v>1.7320508075688772</v>
      </c>
      <c r="Z26" s="25">
        <v>1</v>
      </c>
      <c r="AA26" s="28">
        <f t="shared" si="0"/>
        <v>0</v>
      </c>
    </row>
    <row r="27" spans="1:27" ht="17.399999999999999" thickBot="1" x14ac:dyDescent="0.35">
      <c r="A27" s="12"/>
      <c r="B27" s="12"/>
      <c r="C27" s="12"/>
      <c r="D27" s="12"/>
      <c r="E27" s="12"/>
      <c r="F27" s="12"/>
      <c r="G27" s="12"/>
      <c r="H27" s="13"/>
      <c r="I27" s="15"/>
      <c r="J27" s="48"/>
      <c r="K27" s="48"/>
      <c r="L27" s="48"/>
      <c r="M27" s="48"/>
      <c r="N27" s="48"/>
    </row>
    <row r="28" spans="1:27" ht="17.399999999999999" thickTop="1" x14ac:dyDescent="0.3">
      <c r="A28" s="12"/>
      <c r="B28" s="12"/>
      <c r="C28" s="12"/>
      <c r="D28" s="12"/>
      <c r="E28" s="12"/>
      <c r="F28" s="12"/>
      <c r="G28" s="12"/>
      <c r="H28" s="13"/>
      <c r="I28" s="15"/>
      <c r="J28" s="50"/>
      <c r="K28" s="51"/>
      <c r="L28" s="51"/>
      <c r="M28" s="51"/>
      <c r="N28" s="51"/>
    </row>
    <row r="29" spans="1:27" ht="16.8" x14ac:dyDescent="0.3">
      <c r="A29" s="12"/>
      <c r="B29" s="12"/>
      <c r="C29" s="12"/>
      <c r="D29" s="12"/>
      <c r="E29" s="12"/>
      <c r="F29" s="12"/>
      <c r="G29" s="12"/>
      <c r="H29" s="13"/>
      <c r="I29" s="15"/>
      <c r="J29" s="50"/>
      <c r="K29" s="51"/>
      <c r="L29" s="51"/>
      <c r="M29" s="51"/>
      <c r="N29" s="51"/>
    </row>
    <row r="30" spans="1:27" ht="18" x14ac:dyDescent="0.35">
      <c r="A30" s="44" t="s">
        <v>16</v>
      </c>
      <c r="B30" s="44"/>
      <c r="C30" s="44"/>
      <c r="D30" s="2"/>
      <c r="E30" s="2"/>
      <c r="F30" s="5"/>
      <c r="G30" s="44" t="s">
        <v>15</v>
      </c>
      <c r="H30" s="44"/>
      <c r="I30" s="44"/>
      <c r="J30" s="50"/>
      <c r="K30" s="51"/>
      <c r="L30" s="51"/>
      <c r="M30" s="51"/>
      <c r="N30" s="51"/>
    </row>
    <row r="31" spans="1:27" ht="18" x14ac:dyDescent="0.35">
      <c r="A31" s="16"/>
      <c r="B31" s="16"/>
      <c r="C31" s="16"/>
      <c r="D31" s="17"/>
      <c r="E31" s="16"/>
      <c r="F31" s="16"/>
      <c r="G31" s="16"/>
      <c r="H31" s="16"/>
      <c r="I31" s="16"/>
      <c r="J31" s="50"/>
      <c r="K31" s="51"/>
      <c r="L31" s="51"/>
      <c r="M31" s="51"/>
      <c r="N31" s="51"/>
    </row>
    <row r="32" spans="1:27" ht="18" x14ac:dyDescent="0.35">
      <c r="A32" s="2"/>
      <c r="B32" s="2"/>
      <c r="C32" s="2"/>
      <c r="D32" s="2"/>
      <c r="E32" s="2"/>
      <c r="F32" s="2"/>
      <c r="G32" s="2"/>
      <c r="H32" s="2"/>
      <c r="I32" s="2"/>
      <c r="J32" s="50"/>
      <c r="K32" s="51"/>
      <c r="L32" s="51"/>
      <c r="M32" s="51"/>
      <c r="N32" s="51"/>
    </row>
    <row r="33" spans="1:14" ht="18.600000000000001" thickBot="1" x14ac:dyDescent="0.4">
      <c r="A33" s="2"/>
      <c r="B33" s="2"/>
      <c r="C33" s="2"/>
      <c r="D33" s="2"/>
      <c r="E33" s="2"/>
      <c r="F33" s="2"/>
      <c r="G33" s="2"/>
      <c r="H33" s="2"/>
      <c r="I33" s="2"/>
      <c r="J33" s="48"/>
      <c r="K33" s="48"/>
      <c r="L33" s="48"/>
      <c r="M33" s="48"/>
      <c r="N33" s="48"/>
    </row>
    <row r="34" spans="1:14" ht="18.600000000000001" thickTop="1" x14ac:dyDescent="0.35">
      <c r="A34" s="44"/>
      <c r="B34" s="44"/>
      <c r="C34" s="44"/>
      <c r="D34" s="2"/>
      <c r="E34" s="2"/>
      <c r="F34" s="2"/>
      <c r="G34" s="44"/>
      <c r="H34" s="44"/>
      <c r="I34" s="44"/>
    </row>
    <row r="36" spans="1:14" ht="18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14" ht="18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14" ht="18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14" ht="18" x14ac:dyDescent="0.35">
      <c r="A39" s="5"/>
      <c r="B39" s="5"/>
      <c r="C39" s="5"/>
      <c r="D39" s="5"/>
      <c r="E39" s="5"/>
      <c r="F39" s="5"/>
      <c r="G39" s="5"/>
      <c r="H39" s="5"/>
      <c r="I39" s="5"/>
    </row>
  </sheetData>
  <mergeCells count="34">
    <mergeCell ref="A8:B8"/>
    <mergeCell ref="A6:B6"/>
    <mergeCell ref="A30:C30"/>
    <mergeCell ref="G30:I30"/>
    <mergeCell ref="A34:C34"/>
    <mergeCell ref="G34:I34"/>
    <mergeCell ref="A18:C18"/>
    <mergeCell ref="A9:B9"/>
    <mergeCell ref="A10:B10"/>
    <mergeCell ref="C10:D10"/>
    <mergeCell ref="A11:B11"/>
    <mergeCell ref="A13:B13"/>
    <mergeCell ref="A1:D1"/>
    <mergeCell ref="E1:I1"/>
    <mergeCell ref="H7:I7"/>
    <mergeCell ref="J1:N1"/>
    <mergeCell ref="K2:K3"/>
    <mergeCell ref="L2:N2"/>
    <mergeCell ref="J2:J3"/>
    <mergeCell ref="T3:T4"/>
    <mergeCell ref="O1:T1"/>
    <mergeCell ref="U3:U4"/>
    <mergeCell ref="V3:V4"/>
    <mergeCell ref="W3:W4"/>
    <mergeCell ref="O3:O4"/>
    <mergeCell ref="P3:P4"/>
    <mergeCell ref="Q3:Q4"/>
    <mergeCell ref="R3:R4"/>
    <mergeCell ref="S3:S4"/>
    <mergeCell ref="X3:X4"/>
    <mergeCell ref="Y3:Y4"/>
    <mergeCell ref="Z3:Z4"/>
    <mergeCell ref="AA3:AA4"/>
    <mergeCell ref="U1:AA1"/>
  </mergeCells>
  <printOptions horizontalCentered="1"/>
  <pageMargins left="0.7" right="0.7" top="0.75" bottom="0.75" header="0.3" footer="0.3"/>
  <pageSetup paperSize="9"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3E89-6F5A-4C2F-83BD-3354CA445AC0}">
  <dimension ref="A1:AD39"/>
  <sheetViews>
    <sheetView view="pageLayout" zoomScale="55" zoomScaleNormal="100" zoomScalePageLayoutView="55" workbookViewId="0">
      <selection activeCell="U22" sqref="U22"/>
    </sheetView>
  </sheetViews>
  <sheetFormatPr defaultColWidth="2.5546875" defaultRowHeight="14.4" x14ac:dyDescent="0.3"/>
  <cols>
    <col min="1" max="1" width="9.88671875" customWidth="1"/>
    <col min="2" max="2" width="11.21875" customWidth="1"/>
    <col min="3" max="3" width="11.33203125" customWidth="1"/>
    <col min="4" max="6" width="9" bestFit="1" customWidth="1"/>
    <col min="7" max="7" width="10.77734375" customWidth="1"/>
    <col min="8" max="8" width="10.44140625" customWidth="1"/>
    <col min="9" max="9" width="12.21875" customWidth="1"/>
    <col min="10" max="10" width="12.6640625" customWidth="1"/>
    <col min="11" max="11" width="12.44140625" customWidth="1"/>
    <col min="12" max="12" width="14" customWidth="1"/>
    <col min="13" max="13" width="12.21875" customWidth="1"/>
    <col min="14" max="15" width="11.5546875" customWidth="1"/>
    <col min="16" max="16" width="11.33203125" customWidth="1"/>
    <col min="17" max="17" width="11.6640625" customWidth="1"/>
    <col min="18" max="18" width="13.21875" customWidth="1"/>
    <col min="19" max="19" width="10.88671875" customWidth="1"/>
    <col min="20" max="20" width="14.109375" customWidth="1"/>
    <col min="21" max="22" width="12.5546875" customWidth="1"/>
    <col min="23" max="23" width="17.5546875" customWidth="1"/>
    <col min="24" max="24" width="6.77734375" customWidth="1"/>
    <col min="25" max="25" width="21.77734375" customWidth="1"/>
    <col min="26" max="26" width="12.5546875" customWidth="1"/>
    <col min="27" max="27" width="10.5546875" customWidth="1"/>
    <col min="28" max="28" width="9.44140625" customWidth="1"/>
    <col min="29" max="29" width="11.44140625" customWidth="1"/>
    <col min="30" max="30" width="18.6640625" customWidth="1"/>
    <col min="31" max="31" width="12.5546875" customWidth="1"/>
  </cols>
  <sheetData>
    <row r="1" spans="1:30" ht="50.4" customHeight="1" x14ac:dyDescent="0.3">
      <c r="A1" s="38" t="s">
        <v>18</v>
      </c>
      <c r="B1" s="38"/>
      <c r="C1" s="38"/>
      <c r="D1" s="38"/>
      <c r="E1" s="39" t="s">
        <v>19</v>
      </c>
      <c r="F1" s="39"/>
      <c r="G1" s="39"/>
      <c r="H1" s="39"/>
      <c r="I1" s="39"/>
      <c r="J1" s="41" t="s">
        <v>9</v>
      </c>
      <c r="K1" s="41"/>
      <c r="L1" s="41"/>
      <c r="M1" s="41"/>
      <c r="N1" s="41"/>
      <c r="O1" s="41"/>
      <c r="P1" s="41"/>
      <c r="Q1" s="35" t="s">
        <v>38</v>
      </c>
      <c r="R1" s="35"/>
      <c r="S1" s="35"/>
      <c r="T1" s="35"/>
      <c r="U1" s="35"/>
      <c r="V1" s="35"/>
      <c r="W1" s="35"/>
      <c r="X1" s="33" t="s">
        <v>39</v>
      </c>
      <c r="Y1" s="33"/>
      <c r="Z1" s="33"/>
      <c r="AA1" s="33"/>
      <c r="AB1" s="33"/>
      <c r="AC1" s="33"/>
      <c r="AD1" s="33"/>
    </row>
    <row r="2" spans="1:30" ht="20.100000000000001" customHeight="1" x14ac:dyDescent="0.3">
      <c r="A2" s="7"/>
      <c r="B2" s="7"/>
      <c r="C2" s="8"/>
      <c r="D2" s="10" t="s">
        <v>20</v>
      </c>
      <c r="E2" s="7"/>
      <c r="F2" s="7"/>
      <c r="G2" s="7"/>
      <c r="H2" s="7"/>
      <c r="I2" s="7"/>
      <c r="J2" s="36" t="s">
        <v>33</v>
      </c>
      <c r="K2" s="37" t="s">
        <v>37</v>
      </c>
      <c r="L2" s="42" t="s">
        <v>32</v>
      </c>
      <c r="M2" s="42"/>
      <c r="N2" s="42"/>
      <c r="O2" s="42"/>
      <c r="P2" s="42"/>
      <c r="AB2" t="s">
        <v>75</v>
      </c>
      <c r="AC2">
        <v>3</v>
      </c>
    </row>
    <row r="3" spans="1:30" ht="32.4" customHeight="1" x14ac:dyDescent="0.35">
      <c r="A3" s="7"/>
      <c r="B3" s="7"/>
      <c r="C3" s="7"/>
      <c r="D3" s="7"/>
      <c r="E3" s="2" t="s">
        <v>21</v>
      </c>
      <c r="F3" s="7"/>
      <c r="G3" s="7"/>
      <c r="H3" s="7"/>
      <c r="I3" s="7"/>
      <c r="J3" s="36"/>
      <c r="K3" s="37"/>
      <c r="L3" s="29" t="s">
        <v>34</v>
      </c>
      <c r="M3" s="29" t="s">
        <v>35</v>
      </c>
      <c r="N3" s="29" t="s">
        <v>36</v>
      </c>
      <c r="O3" s="29" t="s">
        <v>81</v>
      </c>
      <c r="P3" s="29" t="s">
        <v>82</v>
      </c>
      <c r="Q3" s="36" t="s">
        <v>33</v>
      </c>
      <c r="R3" s="37" t="s">
        <v>77</v>
      </c>
      <c r="S3" s="37" t="s">
        <v>32</v>
      </c>
      <c r="T3" s="37" t="s">
        <v>83</v>
      </c>
      <c r="U3" s="37" t="s">
        <v>79</v>
      </c>
      <c r="V3" s="37" t="s">
        <v>80</v>
      </c>
      <c r="W3" s="37" t="s">
        <v>78</v>
      </c>
      <c r="X3" s="31" t="s">
        <v>40</v>
      </c>
      <c r="Y3" s="31" t="s">
        <v>43</v>
      </c>
      <c r="Z3" s="31" t="s">
        <v>44</v>
      </c>
      <c r="AA3" s="31" t="s">
        <v>45</v>
      </c>
      <c r="AB3" s="31" t="s">
        <v>46</v>
      </c>
      <c r="AC3" s="32" t="s">
        <v>74</v>
      </c>
      <c r="AD3" s="31" t="s">
        <v>47</v>
      </c>
    </row>
    <row r="4" spans="1:30" ht="20.100000000000001" customHeight="1" x14ac:dyDescent="0.3">
      <c r="J4" s="21"/>
      <c r="K4" s="22"/>
      <c r="L4" s="22"/>
      <c r="M4" s="22"/>
      <c r="N4" s="22"/>
      <c r="O4" s="22"/>
      <c r="P4" s="22"/>
      <c r="Q4" s="36"/>
      <c r="R4" s="37"/>
      <c r="S4" s="37"/>
      <c r="T4" s="37"/>
      <c r="U4" s="37"/>
      <c r="V4" s="37"/>
      <c r="W4" s="37"/>
      <c r="X4" s="31"/>
      <c r="Y4" s="31"/>
      <c r="Z4" s="31"/>
      <c r="AA4" s="31"/>
      <c r="AB4" s="31"/>
      <c r="AC4" s="32"/>
      <c r="AD4" s="31"/>
    </row>
    <row r="5" spans="1:30" ht="20.100000000000001" customHeight="1" x14ac:dyDescent="0.3">
      <c r="J5" s="21"/>
      <c r="K5" s="22"/>
      <c r="L5" s="22"/>
      <c r="M5" s="22"/>
      <c r="N5" s="22"/>
      <c r="O5" s="22"/>
      <c r="P5" s="22"/>
      <c r="Q5" s="24"/>
      <c r="R5" s="25" t="str">
        <f>K9</f>
        <v xml:space="preserve"> </v>
      </c>
      <c r="S5" s="26"/>
      <c r="T5" s="26"/>
      <c r="U5" s="25"/>
      <c r="V5" s="25"/>
      <c r="W5" s="25"/>
      <c r="X5" s="27" t="s">
        <v>49</v>
      </c>
      <c r="Y5" s="27" t="s">
        <v>48</v>
      </c>
      <c r="Z5" s="27" t="e">
        <f>SQRT(STDEV(L4:L8)^2+STDEV(M4:M8)^2+STDEV(N4:N8)^2)/SQRT(3*5)</f>
        <v>#DIV/0!</v>
      </c>
      <c r="AA5" s="25" t="s">
        <v>76</v>
      </c>
      <c r="AB5" s="25">
        <v>1</v>
      </c>
      <c r="AC5" s="25">
        <v>1</v>
      </c>
      <c r="AD5" s="28" t="str">
        <f>IFERROR(Z5*AC5/AB5," ")</f>
        <v xml:space="preserve"> </v>
      </c>
    </row>
    <row r="6" spans="1:30" ht="22.65" customHeight="1" x14ac:dyDescent="0.35">
      <c r="A6" s="43" t="s">
        <v>2</v>
      </c>
      <c r="B6" s="43"/>
      <c r="C6" s="2"/>
      <c r="D6" s="2"/>
      <c r="E6" s="2"/>
      <c r="F6" s="2"/>
      <c r="G6" s="2"/>
      <c r="H6" s="2"/>
      <c r="I6" s="2"/>
      <c r="J6" s="21"/>
      <c r="K6" s="22"/>
      <c r="L6" s="22"/>
      <c r="M6" s="22"/>
      <c r="N6" s="22"/>
      <c r="O6" s="22"/>
      <c r="P6" s="22"/>
      <c r="Q6" s="24"/>
      <c r="R6" s="25" t="str">
        <f>K15</f>
        <v xml:space="preserve"> </v>
      </c>
      <c r="S6" s="26"/>
      <c r="T6" s="26"/>
      <c r="U6" s="25"/>
      <c r="V6" s="25"/>
      <c r="W6" s="25"/>
      <c r="X6" s="27" t="s">
        <v>50</v>
      </c>
      <c r="Y6" s="27" t="s">
        <v>48</v>
      </c>
      <c r="Z6" s="27" t="e">
        <f>SQRT(STDEV(L10:L14)^2+STDEV(M10:M14)^2+STDEV(N10:N14)^2)/SQRT(3*5)</f>
        <v>#DIV/0!</v>
      </c>
      <c r="AA6" s="25" t="s">
        <v>76</v>
      </c>
      <c r="AB6" s="25">
        <v>1</v>
      </c>
      <c r="AC6" s="25">
        <v>1</v>
      </c>
      <c r="AD6" s="28" t="str">
        <f t="shared" ref="AD6:AD26" si="0">IFERROR(Z6*AC6/AB6," ")</f>
        <v xml:space="preserve"> </v>
      </c>
    </row>
    <row r="7" spans="1:30" ht="22.65" customHeight="1" x14ac:dyDescent="0.35">
      <c r="A7" s="2" t="s">
        <v>1</v>
      </c>
      <c r="B7" s="2"/>
      <c r="C7" s="2"/>
      <c r="D7" s="2"/>
      <c r="E7" s="2"/>
      <c r="F7" s="2"/>
      <c r="G7" s="2" t="s">
        <v>12</v>
      </c>
      <c r="H7" s="40"/>
      <c r="I7" s="40"/>
      <c r="J7" s="21"/>
      <c r="K7" s="22"/>
      <c r="L7" s="22"/>
      <c r="M7" s="22"/>
      <c r="N7" s="22"/>
      <c r="O7" s="22"/>
      <c r="P7" s="22"/>
      <c r="Q7" s="24"/>
      <c r="R7" s="25"/>
      <c r="S7" s="26"/>
      <c r="T7" s="26"/>
      <c r="U7" s="25"/>
      <c r="V7" s="25"/>
      <c r="W7" s="25"/>
      <c r="X7" s="27" t="s">
        <v>51</v>
      </c>
      <c r="Y7" s="27" t="s">
        <v>48</v>
      </c>
      <c r="Z7" s="27" t="e">
        <f>SQRT(STDEV(L16:L20)^2+STDEV(M16:M20)^2+STDEV(N16:N20)^2)/SQRT(3*5)</f>
        <v>#DIV/0!</v>
      </c>
      <c r="AA7" s="25" t="s">
        <v>76</v>
      </c>
      <c r="AB7" s="25">
        <v>1</v>
      </c>
      <c r="AC7" s="25">
        <v>1</v>
      </c>
      <c r="AD7" s="28" t="str">
        <f t="shared" si="0"/>
        <v xml:space="preserve"> </v>
      </c>
    </row>
    <row r="8" spans="1:30" ht="22.65" customHeight="1" x14ac:dyDescent="0.35">
      <c r="A8" s="43" t="s">
        <v>0</v>
      </c>
      <c r="B8" s="43"/>
      <c r="C8" s="2"/>
      <c r="D8" s="2"/>
      <c r="E8" s="2"/>
      <c r="F8" s="2"/>
      <c r="G8" s="2" t="s">
        <v>22</v>
      </c>
      <c r="H8" s="2"/>
      <c r="I8" s="2"/>
      <c r="J8" s="21"/>
      <c r="K8" s="22"/>
      <c r="L8" s="22"/>
      <c r="M8" s="22"/>
      <c r="N8" s="22"/>
      <c r="O8" s="22"/>
      <c r="P8" s="22"/>
      <c r="Q8" s="24"/>
      <c r="R8" s="25" t="str">
        <f>K27</f>
        <v xml:space="preserve"> </v>
      </c>
      <c r="S8" s="26" t="str">
        <f>IFERROR(AVERAGE(L27:P27)," ")</f>
        <v xml:space="preserve"> </v>
      </c>
      <c r="T8" s="26"/>
      <c r="U8" s="25"/>
      <c r="V8" s="25"/>
      <c r="W8" s="25"/>
      <c r="X8" s="27" t="s">
        <v>52</v>
      </c>
      <c r="Y8" s="27" t="s">
        <v>48</v>
      </c>
      <c r="Z8" s="27" t="str">
        <f>IFERROR(SQRT(STDEV(L22:L26)^2+STDEV(M22:M26)^2+STDEV(#REF!)^2)/SQRT(3*5)," ")</f>
        <v xml:space="preserve"> </v>
      </c>
      <c r="AA8" s="25" t="s">
        <v>76</v>
      </c>
      <c r="AB8" s="25">
        <v>1</v>
      </c>
      <c r="AC8" s="25">
        <v>1</v>
      </c>
      <c r="AD8" s="28" t="str">
        <f t="shared" si="0"/>
        <v xml:space="preserve"> </v>
      </c>
    </row>
    <row r="9" spans="1:30" ht="22.65" customHeight="1" thickBot="1" x14ac:dyDescent="0.4">
      <c r="A9" s="43" t="s">
        <v>3</v>
      </c>
      <c r="B9" s="43"/>
      <c r="C9" s="2"/>
      <c r="D9" s="2"/>
      <c r="E9" s="2"/>
      <c r="F9" s="2"/>
      <c r="G9" s="2"/>
      <c r="H9" s="2"/>
      <c r="I9" s="2"/>
      <c r="J9" s="48"/>
      <c r="K9" s="48" t="str">
        <f>IFERROR(AVERAGE(K4:K8)," ")</f>
        <v xml:space="preserve"> </v>
      </c>
      <c r="L9" s="49" t="str">
        <f t="shared" ref="L9:M9" si="1">IFERROR(AVERAGE(L4:L8)," ")</f>
        <v xml:space="preserve"> </v>
      </c>
      <c r="M9" s="49" t="str">
        <f t="shared" si="1"/>
        <v xml:space="preserve"> </v>
      </c>
      <c r="N9" s="49" t="str">
        <f>IFERROR(AVERAGE(N4:N8)," ")</f>
        <v xml:space="preserve"> </v>
      </c>
      <c r="O9" s="49"/>
      <c r="P9" s="49"/>
      <c r="Q9" s="24"/>
      <c r="R9" s="53" t="str">
        <f>K33</f>
        <v xml:space="preserve"> </v>
      </c>
      <c r="S9" s="26" t="str">
        <f>IFERROR(AVERAGE(L33:P33)," ")</f>
        <v xml:space="preserve"> </v>
      </c>
      <c r="T9" s="26"/>
      <c r="U9" s="25"/>
      <c r="V9" s="25"/>
      <c r="W9" s="25"/>
      <c r="X9" s="27" t="s">
        <v>53</v>
      </c>
      <c r="Y9" s="27" t="s">
        <v>48</v>
      </c>
      <c r="Z9" s="27" t="str">
        <f>IFERROR(SQRT(STDEV(L28:L32)^2+STDEV(M28:M32)^2+STDEV(#REF!)^2)/SQRT(3*5)," ")</f>
        <v xml:space="preserve"> </v>
      </c>
      <c r="AA9" s="25" t="s">
        <v>76</v>
      </c>
      <c r="AB9" s="25">
        <v>1</v>
      </c>
      <c r="AC9" s="25">
        <v>1</v>
      </c>
      <c r="AD9" s="28" t="str">
        <f t="shared" si="0"/>
        <v xml:space="preserve"> </v>
      </c>
    </row>
    <row r="10" spans="1:30" ht="22.65" customHeight="1" thickTop="1" x14ac:dyDescent="0.35">
      <c r="A10" s="46" t="s">
        <v>25</v>
      </c>
      <c r="B10" s="46"/>
      <c r="C10" s="47"/>
      <c r="D10" s="47"/>
      <c r="E10" s="2" t="s">
        <v>23</v>
      </c>
      <c r="F10" s="2"/>
      <c r="G10" s="2"/>
      <c r="H10" s="2"/>
      <c r="I10" s="2"/>
      <c r="J10" s="50"/>
      <c r="K10" s="51"/>
      <c r="L10" s="51"/>
      <c r="M10" s="51"/>
      <c r="N10" s="51"/>
      <c r="O10" s="51"/>
      <c r="P10" s="51"/>
      <c r="X10" s="27" t="s">
        <v>54</v>
      </c>
      <c r="Y10" s="27" t="s">
        <v>55</v>
      </c>
      <c r="Z10" s="27" t="str">
        <f>IFERROR(STDEV(K4:K8)/SQRT(5)," ")</f>
        <v xml:space="preserve"> </v>
      </c>
      <c r="AA10" s="25" t="s">
        <v>76</v>
      </c>
      <c r="AB10" s="25">
        <v>1</v>
      </c>
      <c r="AC10" s="25">
        <v>1</v>
      </c>
      <c r="AD10" s="28" t="str">
        <f t="shared" si="0"/>
        <v xml:space="preserve"> </v>
      </c>
    </row>
    <row r="11" spans="1:30" ht="22.65" customHeight="1" x14ac:dyDescent="0.35">
      <c r="A11" s="46" t="s">
        <v>10</v>
      </c>
      <c r="B11" s="46"/>
      <c r="C11" s="2"/>
      <c r="D11" s="2" t="s">
        <v>23</v>
      </c>
      <c r="E11" s="2"/>
      <c r="F11" s="2"/>
      <c r="G11" s="2"/>
      <c r="H11" s="2"/>
      <c r="I11" s="2"/>
      <c r="J11" s="50"/>
      <c r="K11" s="51"/>
      <c r="L11" s="51"/>
      <c r="M11" s="51"/>
      <c r="N11" s="51"/>
      <c r="O11" s="51"/>
      <c r="P11" s="51"/>
      <c r="X11" s="27" t="s">
        <v>56</v>
      </c>
      <c r="Y11" s="27" t="s">
        <v>55</v>
      </c>
      <c r="Z11" s="27" t="str">
        <f>IFERROR(STDEV(K10:K14)/SQRT(5)," ")</f>
        <v xml:space="preserve"> </v>
      </c>
      <c r="AA11" s="25" t="s">
        <v>76</v>
      </c>
      <c r="AB11" s="25">
        <v>1</v>
      </c>
      <c r="AC11" s="25">
        <v>1</v>
      </c>
      <c r="AD11" s="28" t="str">
        <f t="shared" si="0"/>
        <v xml:space="preserve"> </v>
      </c>
    </row>
    <row r="12" spans="1:30" ht="22.65" customHeight="1" x14ac:dyDescent="0.35">
      <c r="A12" s="9" t="s">
        <v>4</v>
      </c>
      <c r="B12" s="9"/>
      <c r="D12" s="2"/>
      <c r="E12" s="2"/>
      <c r="F12" s="2"/>
      <c r="G12" s="2"/>
      <c r="H12" s="2"/>
      <c r="I12" s="2"/>
      <c r="J12" s="50"/>
      <c r="K12" s="51"/>
      <c r="L12" s="51"/>
      <c r="M12" s="51"/>
      <c r="N12" s="51"/>
      <c r="O12" s="51"/>
      <c r="P12" s="51"/>
      <c r="X12" s="27" t="s">
        <v>57</v>
      </c>
      <c r="Y12" s="27" t="s">
        <v>55</v>
      </c>
      <c r="Z12" s="27" t="str">
        <f>IFERROR(STDEV(K16:K20)/SQRT(5)," ")</f>
        <v xml:space="preserve"> </v>
      </c>
      <c r="AA12" s="25" t="s">
        <v>76</v>
      </c>
      <c r="AB12" s="25">
        <v>1</v>
      </c>
      <c r="AC12" s="25">
        <v>1</v>
      </c>
      <c r="AD12" s="28" t="str">
        <f t="shared" si="0"/>
        <v xml:space="preserve"> </v>
      </c>
    </row>
    <row r="13" spans="1:30" ht="22.65" customHeight="1" x14ac:dyDescent="0.35">
      <c r="A13" s="43" t="s">
        <v>5</v>
      </c>
      <c r="B13" s="43"/>
      <c r="C13" s="2"/>
      <c r="D13" s="2"/>
      <c r="E13" s="2"/>
      <c r="F13" s="2"/>
      <c r="G13" s="2"/>
      <c r="H13" s="30"/>
      <c r="I13" s="2"/>
      <c r="J13" s="50"/>
      <c r="K13" s="51"/>
      <c r="L13" s="51"/>
      <c r="M13" s="51"/>
      <c r="N13" s="51"/>
      <c r="O13" s="51"/>
      <c r="P13" s="51"/>
      <c r="X13" s="27" t="s">
        <v>58</v>
      </c>
      <c r="Y13" s="27" t="s">
        <v>55</v>
      </c>
      <c r="Z13" s="27" t="str">
        <f>IFERROR(STDEV(K22:K26)/SQRT(5)," ")</f>
        <v xml:space="preserve"> </v>
      </c>
      <c r="AA13" s="25" t="s">
        <v>76</v>
      </c>
      <c r="AB13" s="25">
        <v>1</v>
      </c>
      <c r="AC13" s="25">
        <v>1</v>
      </c>
      <c r="AD13" s="28" t="str">
        <f t="shared" si="0"/>
        <v xml:space="preserve"> </v>
      </c>
    </row>
    <row r="14" spans="1:30" ht="22.6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50"/>
      <c r="K14" s="51"/>
      <c r="L14" s="51"/>
      <c r="M14" s="51"/>
      <c r="N14" s="51"/>
      <c r="O14" s="51"/>
      <c r="P14" s="51"/>
      <c r="X14" s="27" t="s">
        <v>59</v>
      </c>
      <c r="Y14" s="27" t="s">
        <v>55</v>
      </c>
      <c r="Z14" s="27" t="str">
        <f>IFERROR(STDEV(K28:K32)/SQRT(5)," ")</f>
        <v xml:space="preserve"> </v>
      </c>
      <c r="AA14" s="25" t="s">
        <v>76</v>
      </c>
      <c r="AB14" s="25">
        <v>1</v>
      </c>
      <c r="AC14" s="25">
        <v>1</v>
      </c>
      <c r="AD14" s="28" t="str">
        <f t="shared" si="0"/>
        <v xml:space="preserve"> </v>
      </c>
    </row>
    <row r="15" spans="1:30" ht="22.65" customHeight="1" thickBot="1" x14ac:dyDescent="0.4">
      <c r="A15" s="2" t="s">
        <v>6</v>
      </c>
      <c r="B15" s="2"/>
      <c r="C15" s="2"/>
      <c r="D15" s="2"/>
      <c r="E15" s="2"/>
      <c r="F15" s="2"/>
      <c r="G15" s="2"/>
      <c r="H15" s="2"/>
      <c r="I15" s="2"/>
      <c r="J15" s="48"/>
      <c r="K15" s="48" t="str">
        <f>IFERROR(AVERAGE(K10:K14)," ")</f>
        <v xml:space="preserve"> </v>
      </c>
      <c r="L15" s="49" t="str">
        <f t="shared" ref="L15:M15" si="2">IFERROR(AVERAGE(L10:L14)," ")</f>
        <v xml:space="preserve"> </v>
      </c>
      <c r="M15" s="49" t="str">
        <f t="shared" si="2"/>
        <v xml:space="preserve"> </v>
      </c>
      <c r="N15" s="49" t="str">
        <f>IFERROR(AVERAGE(N10:N14)," ")</f>
        <v xml:space="preserve"> </v>
      </c>
      <c r="O15" s="49"/>
      <c r="P15" s="49"/>
      <c r="X15" s="27" t="s">
        <v>41</v>
      </c>
      <c r="Y15" s="27" t="s">
        <v>60</v>
      </c>
      <c r="Z15" s="27">
        <v>0.4</v>
      </c>
      <c r="AA15" s="25" t="s">
        <v>76</v>
      </c>
      <c r="AB15" s="25">
        <v>2</v>
      </c>
      <c r="AC15" s="25">
        <v>1</v>
      </c>
      <c r="AD15" s="28">
        <f t="shared" si="0"/>
        <v>0.2</v>
      </c>
    </row>
    <row r="16" spans="1:30" ht="22.65" customHeight="1" thickTop="1" x14ac:dyDescent="0.35">
      <c r="A16" s="2"/>
      <c r="B16" s="2" t="s">
        <v>7</v>
      </c>
      <c r="C16" s="2"/>
      <c r="D16" s="2" t="s">
        <v>23</v>
      </c>
      <c r="E16" s="2"/>
      <c r="F16" s="2" t="s">
        <v>14</v>
      </c>
      <c r="G16" s="2"/>
      <c r="H16" s="2" t="s">
        <v>13</v>
      </c>
      <c r="I16" s="2"/>
      <c r="J16" s="50"/>
      <c r="K16" s="51"/>
      <c r="L16" s="51"/>
      <c r="M16" s="51"/>
      <c r="N16" s="51"/>
      <c r="O16" s="51"/>
      <c r="P16" s="51"/>
      <c r="X16" s="27" t="s">
        <v>42</v>
      </c>
      <c r="Y16" s="27" t="s">
        <v>61</v>
      </c>
      <c r="Z16" s="27">
        <f>C11</f>
        <v>0</v>
      </c>
      <c r="AA16" s="25" t="s">
        <v>76</v>
      </c>
      <c r="AB16" s="25">
        <f>2*SQRT(3)</f>
        <v>3.4641016151377544</v>
      </c>
      <c r="AC16" s="25">
        <v>1</v>
      </c>
      <c r="AD16" s="28">
        <f t="shared" si="0"/>
        <v>0</v>
      </c>
    </row>
    <row r="17" spans="1:30" ht="22.65" customHeight="1" x14ac:dyDescent="0.35">
      <c r="A17" s="2" t="s">
        <v>11</v>
      </c>
      <c r="B17" s="2"/>
      <c r="C17" s="2"/>
      <c r="D17" s="2"/>
      <c r="E17" s="2"/>
      <c r="F17" s="2"/>
      <c r="G17" s="2"/>
      <c r="H17" s="2"/>
      <c r="I17" s="2"/>
      <c r="J17" s="50"/>
      <c r="K17" s="51"/>
      <c r="L17" s="51"/>
      <c r="M17" s="51"/>
      <c r="N17" s="51"/>
      <c r="O17" s="51"/>
      <c r="P17" s="51"/>
      <c r="X17" s="27" t="s">
        <v>64</v>
      </c>
      <c r="Y17" s="27" t="s">
        <v>62</v>
      </c>
      <c r="Z17" s="27">
        <f>U5</f>
        <v>0</v>
      </c>
      <c r="AA17" s="25" t="s">
        <v>76</v>
      </c>
      <c r="AB17" s="25">
        <f>SQRT(3)</f>
        <v>1.7320508075688772</v>
      </c>
      <c r="AC17" s="25">
        <v>1</v>
      </c>
      <c r="AD17" s="28">
        <f t="shared" si="0"/>
        <v>0</v>
      </c>
    </row>
    <row r="18" spans="1:30" ht="22.65" customHeight="1" x14ac:dyDescent="0.35">
      <c r="A18" s="45"/>
      <c r="B18" s="45"/>
      <c r="C18" s="45"/>
      <c r="D18" s="2"/>
      <c r="E18" s="2"/>
      <c r="F18" s="2"/>
      <c r="G18" s="2"/>
      <c r="H18" s="2"/>
      <c r="I18" s="2"/>
      <c r="J18" s="50"/>
      <c r="K18" s="51"/>
      <c r="L18" s="51"/>
      <c r="M18" s="51"/>
      <c r="N18" s="51"/>
      <c r="O18" s="51"/>
      <c r="P18" s="51"/>
      <c r="X18" s="27" t="s">
        <v>65</v>
      </c>
      <c r="Y18" s="27" t="s">
        <v>62</v>
      </c>
      <c r="Z18" s="27">
        <f t="shared" ref="Z18:Z21" si="3">U6</f>
        <v>0</v>
      </c>
      <c r="AA18" s="25" t="s">
        <v>76</v>
      </c>
      <c r="AB18" s="25">
        <f>SQRT(3)</f>
        <v>1.7320508075688772</v>
      </c>
      <c r="AC18" s="25">
        <v>1</v>
      </c>
      <c r="AD18" s="28">
        <f t="shared" si="0"/>
        <v>0</v>
      </c>
    </row>
    <row r="19" spans="1:30" ht="22.65" customHeight="1" x14ac:dyDescent="0.35">
      <c r="A19" s="2" t="s">
        <v>8</v>
      </c>
      <c r="B19" s="2"/>
      <c r="C19" s="3"/>
      <c r="D19" s="2"/>
      <c r="E19" s="2"/>
      <c r="F19" s="2"/>
      <c r="G19" s="2" t="s">
        <v>17</v>
      </c>
      <c r="H19" s="4"/>
      <c r="I19" s="2"/>
      <c r="J19" s="50"/>
      <c r="K19" s="51"/>
      <c r="L19" s="51"/>
      <c r="M19" s="51"/>
      <c r="N19" s="51"/>
      <c r="O19" s="51"/>
      <c r="P19" s="51"/>
      <c r="X19" s="27" t="s">
        <v>66</v>
      </c>
      <c r="Y19" s="27" t="s">
        <v>62</v>
      </c>
      <c r="Z19" s="27">
        <f t="shared" si="3"/>
        <v>0</v>
      </c>
      <c r="AA19" s="25" t="s">
        <v>76</v>
      </c>
      <c r="AB19" s="25">
        <f t="shared" ref="AB19:AB26" si="4">SQRT(3)</f>
        <v>1.7320508075688772</v>
      </c>
      <c r="AC19" s="25">
        <v>1</v>
      </c>
      <c r="AD19" s="28">
        <f t="shared" si="0"/>
        <v>0</v>
      </c>
    </row>
    <row r="20" spans="1:30" ht="22.6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50"/>
      <c r="K20" s="51"/>
      <c r="L20" s="51"/>
      <c r="M20" s="51"/>
      <c r="N20" s="51"/>
      <c r="O20" s="51"/>
      <c r="P20" s="51"/>
      <c r="X20" s="27" t="s">
        <v>67</v>
      </c>
      <c r="Y20" s="27" t="s">
        <v>62</v>
      </c>
      <c r="Z20" s="27">
        <f t="shared" si="3"/>
        <v>0</v>
      </c>
      <c r="AA20" s="25" t="s">
        <v>76</v>
      </c>
      <c r="AB20" s="25">
        <f t="shared" si="4"/>
        <v>1.7320508075688772</v>
      </c>
      <c r="AC20" s="25">
        <v>1</v>
      </c>
      <c r="AD20" s="28">
        <f t="shared" si="0"/>
        <v>0</v>
      </c>
    </row>
    <row r="21" spans="1:30" ht="22.65" customHeight="1" thickBot="1" x14ac:dyDescent="0.4">
      <c r="A21" s="2"/>
      <c r="B21" s="2"/>
      <c r="C21" s="2"/>
      <c r="D21" s="1" t="s">
        <v>9</v>
      </c>
      <c r="E21" s="2"/>
      <c r="F21" s="2"/>
      <c r="G21" s="2"/>
      <c r="H21" s="2"/>
      <c r="I21" s="2"/>
      <c r="J21" s="48"/>
      <c r="K21" s="48"/>
      <c r="L21" s="49"/>
      <c r="M21" s="49"/>
      <c r="N21" s="49"/>
      <c r="O21" s="49"/>
      <c r="P21" s="49"/>
      <c r="X21" s="27" t="s">
        <v>68</v>
      </c>
      <c r="Y21" s="27" t="s">
        <v>62</v>
      </c>
      <c r="Z21" s="27">
        <f t="shared" si="3"/>
        <v>0</v>
      </c>
      <c r="AA21" s="25" t="s">
        <v>76</v>
      </c>
      <c r="AB21" s="25">
        <f t="shared" si="4"/>
        <v>1.7320508075688772</v>
      </c>
      <c r="AC21" s="25">
        <v>1</v>
      </c>
      <c r="AD21" s="28">
        <f t="shared" si="0"/>
        <v>0</v>
      </c>
    </row>
    <row r="22" spans="1:30" ht="22.65" customHeight="1" thickTop="1" x14ac:dyDescent="0.35">
      <c r="A22" s="2"/>
      <c r="B22" s="2"/>
      <c r="C22" s="2"/>
      <c r="D22" s="2"/>
      <c r="E22" s="2"/>
      <c r="F22" s="2"/>
      <c r="G22" s="2"/>
      <c r="H22" s="2"/>
      <c r="I22" s="2"/>
      <c r="J22" s="50"/>
      <c r="K22" s="51"/>
      <c r="L22" s="51"/>
      <c r="M22" s="51"/>
      <c r="N22" s="51"/>
      <c r="O22" s="51"/>
      <c r="P22" s="51"/>
      <c r="X22" s="27" t="s">
        <v>69</v>
      </c>
      <c r="Y22" s="27" t="s">
        <v>63</v>
      </c>
      <c r="Z22" s="27">
        <f>V5</f>
        <v>0</v>
      </c>
      <c r="AA22" s="25" t="s">
        <v>76</v>
      </c>
      <c r="AB22" s="25">
        <f t="shared" si="4"/>
        <v>1.7320508075688772</v>
      </c>
      <c r="AC22" s="25">
        <v>1</v>
      </c>
      <c r="AD22" s="28">
        <f t="shared" si="0"/>
        <v>0</v>
      </c>
    </row>
    <row r="23" spans="1:30" ht="22.65" customHeight="1" x14ac:dyDescent="0.3">
      <c r="A23" s="18" t="s">
        <v>26</v>
      </c>
      <c r="B23" s="18"/>
      <c r="C23" s="18"/>
      <c r="D23" s="18" t="s">
        <v>30</v>
      </c>
      <c r="E23" s="18"/>
      <c r="F23" s="18"/>
      <c r="G23" s="11" t="s">
        <v>31</v>
      </c>
      <c r="H23" s="11"/>
      <c r="I23" s="11"/>
      <c r="J23" s="50"/>
      <c r="K23" s="51"/>
      <c r="L23" s="51"/>
      <c r="M23" s="51"/>
      <c r="N23" s="51"/>
      <c r="O23" s="51"/>
      <c r="P23" s="51"/>
      <c r="X23" s="27" t="s">
        <v>70</v>
      </c>
      <c r="Y23" s="27" t="s">
        <v>63</v>
      </c>
      <c r="Z23" s="27">
        <f t="shared" ref="Z23:Z26" si="5">V6</f>
        <v>0</v>
      </c>
      <c r="AA23" s="25" t="s">
        <v>76</v>
      </c>
      <c r="AB23" s="25">
        <f t="shared" si="4"/>
        <v>1.7320508075688772</v>
      </c>
      <c r="AC23" s="25">
        <v>1</v>
      </c>
      <c r="AD23" s="28">
        <f t="shared" si="0"/>
        <v>0</v>
      </c>
    </row>
    <row r="24" spans="1:30" ht="22.65" customHeight="1" x14ac:dyDescent="0.3">
      <c r="A24" s="20" t="s">
        <v>27</v>
      </c>
      <c r="B24" s="14"/>
      <c r="C24" s="14"/>
      <c r="D24" s="14"/>
      <c r="E24" s="14"/>
      <c r="F24" s="14"/>
      <c r="G24" s="11"/>
      <c r="H24" s="11"/>
      <c r="I24" s="11"/>
      <c r="J24" s="50"/>
      <c r="K24" s="51"/>
      <c r="L24" s="51"/>
      <c r="M24" s="51"/>
      <c r="N24" s="51"/>
      <c r="O24" s="51"/>
      <c r="P24" s="51"/>
      <c r="X24" s="27" t="s">
        <v>71</v>
      </c>
      <c r="Y24" s="27" t="s">
        <v>63</v>
      </c>
      <c r="Z24" s="27">
        <f t="shared" si="5"/>
        <v>0</v>
      </c>
      <c r="AA24" s="25" t="s">
        <v>76</v>
      </c>
      <c r="AB24" s="25">
        <f t="shared" si="4"/>
        <v>1.7320508075688772</v>
      </c>
      <c r="AC24" s="25">
        <v>1</v>
      </c>
      <c r="AD24" s="28">
        <f t="shared" si="0"/>
        <v>0</v>
      </c>
    </row>
    <row r="25" spans="1:30" ht="22.65" customHeight="1" x14ac:dyDescent="0.3">
      <c r="A25" s="19" t="s">
        <v>28</v>
      </c>
      <c r="B25" s="12"/>
      <c r="C25" s="12" t="s">
        <v>29</v>
      </c>
      <c r="D25" s="12"/>
      <c r="E25" s="12"/>
      <c r="F25" s="12"/>
      <c r="G25" s="12"/>
      <c r="H25" s="13"/>
      <c r="I25" s="15"/>
      <c r="J25" s="50"/>
      <c r="K25" s="51"/>
      <c r="L25" s="51"/>
      <c r="M25" s="51"/>
      <c r="N25" s="51"/>
      <c r="O25" s="51"/>
      <c r="P25" s="51"/>
      <c r="X25" s="27" t="s">
        <v>72</v>
      </c>
      <c r="Y25" s="27" t="s">
        <v>63</v>
      </c>
      <c r="Z25" s="27">
        <f t="shared" si="5"/>
        <v>0</v>
      </c>
      <c r="AA25" s="25" t="s">
        <v>76</v>
      </c>
      <c r="AB25" s="25">
        <f t="shared" si="4"/>
        <v>1.7320508075688772</v>
      </c>
      <c r="AC25" s="25">
        <v>1</v>
      </c>
      <c r="AD25" s="28">
        <f t="shared" si="0"/>
        <v>0</v>
      </c>
    </row>
    <row r="26" spans="1:30" ht="16.8" x14ac:dyDescent="0.3">
      <c r="A26" s="12"/>
      <c r="B26" s="12"/>
      <c r="C26" s="12"/>
      <c r="D26" s="12"/>
      <c r="E26" s="12"/>
      <c r="F26" s="12"/>
      <c r="G26" s="12"/>
      <c r="H26" s="13"/>
      <c r="I26" s="15"/>
      <c r="J26" s="50"/>
      <c r="K26" s="51"/>
      <c r="L26" s="51"/>
      <c r="M26" s="51"/>
      <c r="N26" s="51"/>
      <c r="O26" s="51"/>
      <c r="P26" s="51"/>
      <c r="X26" s="27" t="s">
        <v>73</v>
      </c>
      <c r="Y26" s="27" t="s">
        <v>63</v>
      </c>
      <c r="Z26" s="27">
        <f t="shared" si="5"/>
        <v>0</v>
      </c>
      <c r="AA26" s="25" t="s">
        <v>76</v>
      </c>
      <c r="AB26" s="25">
        <f t="shared" si="4"/>
        <v>1.7320508075688772</v>
      </c>
      <c r="AC26" s="25">
        <v>1</v>
      </c>
      <c r="AD26" s="28">
        <f t="shared" si="0"/>
        <v>0</v>
      </c>
    </row>
    <row r="27" spans="1:30" ht="17.399999999999999" thickBot="1" x14ac:dyDescent="0.35">
      <c r="A27" s="12"/>
      <c r="B27" s="12"/>
      <c r="C27" s="12"/>
      <c r="D27" s="12"/>
      <c r="E27" s="12"/>
      <c r="F27" s="12"/>
      <c r="G27" s="12"/>
      <c r="H27" s="13"/>
      <c r="I27" s="15"/>
      <c r="J27" s="48"/>
      <c r="K27" s="48" t="str">
        <f>IFERROR(AVERAGE(K22:K26)," ")</f>
        <v xml:space="preserve"> </v>
      </c>
      <c r="L27" s="48" t="str">
        <f t="shared" ref="L27:P27" si="6">IFERROR(AVERAGE(L22:L26)," ")</f>
        <v xml:space="preserve"> </v>
      </c>
      <c r="M27" s="48" t="str">
        <f t="shared" si="6"/>
        <v xml:space="preserve"> </v>
      </c>
      <c r="N27" s="48" t="str">
        <f t="shared" si="6"/>
        <v xml:space="preserve"> </v>
      </c>
      <c r="O27" s="48" t="str">
        <f t="shared" si="6"/>
        <v xml:space="preserve"> </v>
      </c>
      <c r="P27" s="48" t="str">
        <f t="shared" si="6"/>
        <v xml:space="preserve"> </v>
      </c>
    </row>
    <row r="28" spans="1:30" ht="17.399999999999999" thickTop="1" x14ac:dyDescent="0.3">
      <c r="A28" s="12"/>
      <c r="B28" s="12"/>
      <c r="C28" s="12"/>
      <c r="D28" s="12"/>
      <c r="E28" s="12"/>
      <c r="F28" s="12"/>
      <c r="G28" s="12"/>
      <c r="H28" s="13"/>
      <c r="I28" s="15"/>
      <c r="J28" s="21"/>
      <c r="K28" s="22"/>
      <c r="L28" s="22"/>
      <c r="M28" s="22"/>
      <c r="N28" s="22"/>
      <c r="O28" s="22"/>
      <c r="P28" s="22"/>
    </row>
    <row r="29" spans="1:30" ht="16.8" x14ac:dyDescent="0.3">
      <c r="A29" s="12"/>
      <c r="B29" s="12"/>
      <c r="C29" s="12"/>
      <c r="D29" s="12"/>
      <c r="E29" s="12"/>
      <c r="F29" s="12"/>
      <c r="G29" s="12"/>
      <c r="H29" s="13"/>
      <c r="I29" s="15"/>
      <c r="J29" s="21"/>
      <c r="K29" s="22"/>
      <c r="L29" s="22"/>
      <c r="M29" s="22"/>
      <c r="N29" s="22"/>
      <c r="O29" s="22"/>
      <c r="P29" s="22"/>
    </row>
    <row r="30" spans="1:30" ht="18" x14ac:dyDescent="0.35">
      <c r="A30" s="44" t="s">
        <v>16</v>
      </c>
      <c r="B30" s="44"/>
      <c r="C30" s="44"/>
      <c r="D30" s="2"/>
      <c r="E30" s="2"/>
      <c r="F30" s="5"/>
      <c r="G30" s="44" t="s">
        <v>15</v>
      </c>
      <c r="H30" s="44"/>
      <c r="I30" s="44"/>
      <c r="J30" s="21"/>
      <c r="K30" s="22"/>
      <c r="L30" s="22"/>
      <c r="M30" s="22"/>
      <c r="N30" s="22"/>
      <c r="O30" s="22"/>
      <c r="P30" s="22"/>
    </row>
    <row r="31" spans="1:30" ht="18" x14ac:dyDescent="0.35">
      <c r="A31" s="16"/>
      <c r="B31" s="16"/>
      <c r="C31" s="16"/>
      <c r="D31" s="17"/>
      <c r="E31" s="16"/>
      <c r="F31" s="16"/>
      <c r="G31" s="16"/>
      <c r="H31" s="16"/>
      <c r="I31" s="16"/>
      <c r="J31" s="21"/>
      <c r="K31" s="22"/>
      <c r="L31" s="22"/>
      <c r="M31" s="22"/>
      <c r="N31" s="22"/>
      <c r="O31" s="22"/>
      <c r="P31" s="22"/>
    </row>
    <row r="32" spans="1:30" ht="18" x14ac:dyDescent="0.35">
      <c r="A32" s="2"/>
      <c r="B32" s="2"/>
      <c r="C32" s="2"/>
      <c r="D32" s="2"/>
      <c r="E32" s="2"/>
      <c r="F32" s="2"/>
      <c r="G32" s="2"/>
      <c r="H32" s="2"/>
      <c r="I32" s="2"/>
      <c r="J32" s="21"/>
      <c r="K32" s="22"/>
      <c r="L32" s="22"/>
      <c r="M32" s="22"/>
      <c r="N32" s="22"/>
      <c r="O32" s="22"/>
      <c r="P32" s="22"/>
    </row>
    <row r="33" spans="1:16" ht="18.600000000000001" thickBot="1" x14ac:dyDescent="0.4">
      <c r="A33" s="2"/>
      <c r="B33" s="2"/>
      <c r="C33" s="2"/>
      <c r="D33" s="2"/>
      <c r="E33" s="2"/>
      <c r="F33" s="2"/>
      <c r="G33" s="2"/>
      <c r="H33" s="2"/>
      <c r="I33" s="2"/>
      <c r="J33" s="52"/>
      <c r="K33" s="52" t="str">
        <f>IFERROR(AVERAGE(K28:K32)," ")</f>
        <v xml:space="preserve"> </v>
      </c>
      <c r="L33" s="52" t="str">
        <f t="shared" ref="L33:P33" si="7">IFERROR(AVERAGE(L28:L32)," ")</f>
        <v xml:space="preserve"> </v>
      </c>
      <c r="M33" s="52" t="str">
        <f t="shared" si="7"/>
        <v xml:space="preserve"> </v>
      </c>
      <c r="N33" s="52" t="str">
        <f t="shared" si="7"/>
        <v xml:space="preserve"> </v>
      </c>
      <c r="O33" s="52" t="str">
        <f t="shared" si="7"/>
        <v xml:space="preserve"> </v>
      </c>
      <c r="P33" s="52" t="str">
        <f t="shared" si="7"/>
        <v xml:space="preserve"> </v>
      </c>
    </row>
    <row r="34" spans="1:16" ht="18.600000000000001" thickTop="1" x14ac:dyDescent="0.35">
      <c r="A34" s="44"/>
      <c r="B34" s="44"/>
      <c r="C34" s="44"/>
      <c r="D34" s="2"/>
      <c r="E34" s="2"/>
      <c r="F34" s="2"/>
      <c r="G34" s="44"/>
      <c r="H34" s="44"/>
      <c r="I34" s="44"/>
    </row>
    <row r="36" spans="1:16" ht="18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16" ht="18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16" ht="18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16" ht="18" x14ac:dyDescent="0.35">
      <c r="A39" s="5"/>
      <c r="B39" s="5"/>
      <c r="C39" s="5"/>
      <c r="D39" s="5"/>
      <c r="E39" s="5"/>
      <c r="F39" s="5"/>
      <c r="G39" s="5"/>
      <c r="H39" s="5"/>
      <c r="I39" s="5"/>
    </row>
  </sheetData>
  <mergeCells count="35">
    <mergeCell ref="A1:D1"/>
    <mergeCell ref="E1:I1"/>
    <mergeCell ref="J1:P1"/>
    <mergeCell ref="Q1:W1"/>
    <mergeCell ref="X1:AD1"/>
    <mergeCell ref="AD3:AD4"/>
    <mergeCell ref="A6:B6"/>
    <mergeCell ref="T3:T4"/>
    <mergeCell ref="S3:S4"/>
    <mergeCell ref="U3:U4"/>
    <mergeCell ref="V3:V4"/>
    <mergeCell ref="W3:W4"/>
    <mergeCell ref="X3:X4"/>
    <mergeCell ref="Y3:Y4"/>
    <mergeCell ref="J2:J3"/>
    <mergeCell ref="K2:K3"/>
    <mergeCell ref="L2:P2"/>
    <mergeCell ref="Q3:Q4"/>
    <mergeCell ref="R3:R4"/>
    <mergeCell ref="A11:B11"/>
    <mergeCell ref="Z3:Z4"/>
    <mergeCell ref="AA3:AA4"/>
    <mergeCell ref="AB3:AB4"/>
    <mergeCell ref="AC3:AC4"/>
    <mergeCell ref="H7:I7"/>
    <mergeCell ref="A8:B8"/>
    <mergeCell ref="A9:B9"/>
    <mergeCell ref="A10:B10"/>
    <mergeCell ref="C10:D10"/>
    <mergeCell ref="A13:B13"/>
    <mergeCell ref="A18:C18"/>
    <mergeCell ref="A30:C30"/>
    <mergeCell ref="G30:I30"/>
    <mergeCell ref="A34:C34"/>
    <mergeCell ref="G34:I34"/>
  </mergeCells>
  <printOptions horizontalCentered="1"/>
  <pageMargins left="0.7" right="0.7" top="0.75" bottom="0.75" header="0.3" footer="0.3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Pos</vt:lpstr>
      <vt:lpstr>5 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luyentung@gmail.com</dc:creator>
  <cp:lastModifiedBy>NGUYEN NGOC TAN</cp:lastModifiedBy>
  <cp:lastPrinted>2019-11-13T08:58:17Z</cp:lastPrinted>
  <dcterms:created xsi:type="dcterms:W3CDTF">2018-07-17T09:38:20Z</dcterms:created>
  <dcterms:modified xsi:type="dcterms:W3CDTF">2026-05-20T08:41:08Z</dcterms:modified>
</cp:coreProperties>
</file>